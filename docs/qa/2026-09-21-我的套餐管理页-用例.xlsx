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明细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'用例明细'!$A$2:$K$42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i val="1"/>
      <color rgb="001F4E7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00EAF3FB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5" fillId="0" borderId="0" pivotButton="0" quotePrefix="0" xfId="0"/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30" customWidth="1" min="4" max="4"/>
    <col width="24" customWidth="1" min="5" max="5"/>
    <col width="32" customWidth="1" min="6" max="6"/>
    <col width="46" customWidth="1" min="7" max="7"/>
    <col width="11" customWidth="1" min="8" max="8"/>
    <col width="11" customWidth="1" min="9" max="9"/>
    <col width="26" customWidth="1" min="10" max="10"/>
    <col width="24" customWidth="1" min="11" max="11"/>
  </cols>
  <sheetData>
    <row r="1" ht="30" customHeight="1">
      <c r="A1" s="1" t="inlineStr">
        <is>
          <t>说明：本表为「我的套餐管理页」测试用例。黄色底列为需回填项——「实测结果」填 通过 / 失败 / 阻塞 / 未测，「证据」填截图路径或命令输出摘要。用例来源：src/pages/photographer/services.vue 的真实代码分支。</t>
        </is>
      </c>
    </row>
    <row r="2" ht="22" customHeight="1">
      <c r="A2" s="2" t="inlineStr">
        <is>
          <t>用例ID</t>
        </is>
      </c>
      <c r="B2" s="2" t="inlineStr">
        <is>
          <t>模块</t>
        </is>
      </c>
      <c r="C2" s="2" t="inlineStr">
        <is>
          <t>优先级</t>
        </is>
      </c>
      <c r="D2" s="2" t="inlineStr">
        <is>
          <t>用例标题</t>
        </is>
      </c>
      <c r="E2" s="2" t="inlineStr">
        <is>
          <t>前置条件</t>
        </is>
      </c>
      <c r="F2" s="2" t="inlineStr">
        <is>
          <t>操作步骤</t>
        </is>
      </c>
      <c r="G2" s="2" t="inlineStr">
        <is>
          <t>预期结果</t>
        </is>
      </c>
      <c r="H2" s="2" t="inlineStr">
        <is>
          <t>执行环境</t>
        </is>
      </c>
      <c r="I2" s="2" t="inlineStr">
        <is>
          <t>实测结果</t>
        </is>
      </c>
      <c r="J2" s="2" t="inlineStr">
        <is>
          <t>证据</t>
        </is>
      </c>
      <c r="K2" s="2" t="inlineStr">
        <is>
          <t>备注</t>
        </is>
      </c>
    </row>
    <row r="3">
      <c r="A3" s="3" t="inlineStr">
        <is>
          <t>A1</t>
        </is>
      </c>
      <c r="B3" s="3" t="inlineStr">
        <is>
          <t>A-初始化/渲染</t>
        </is>
      </c>
      <c r="C3" s="4" t="inlineStr">
        <is>
          <t>P0</t>
        </is>
      </c>
      <c r="D3" s="3" t="inlineStr">
        <is>
          <t>未登录访问自动跳登录</t>
        </is>
      </c>
      <c r="E3" s="5" t="inlineStr">
        <is>
          <t>清除登录态</t>
        </is>
      </c>
      <c r="F3" s="5" t="inlineStr">
        <is>
          <t>打开 #/pages/photographer/services</t>
        </is>
      </c>
      <c r="G3" s="5" t="inlineStr">
        <is>
          <t>toast「请先登录」→ 跳 /pages/login/index?redirect=/pages/photographer/services</t>
        </is>
      </c>
      <c r="H3" s="3" t="inlineStr">
        <is>
          <t>dev+prod</t>
        </is>
      </c>
      <c r="I3" s="15" t="inlineStr">
        <is>
          <t>通过</t>
        </is>
      </c>
      <c r="J3" s="15" t="inlineStr">
        <is>
          <t>跳转 #/pages/login/index?redirect=/pages/photographer/services（含 redirect）</t>
        </is>
      </c>
      <c r="K3" s="5" t="inlineStr">
        <is>
          <t>onShow 守卫</t>
        </is>
      </c>
    </row>
    <row r="4">
      <c r="A4" s="3" t="inlineStr">
        <is>
          <t>A2</t>
        </is>
      </c>
      <c r="B4" s="3" t="inlineStr">
        <is>
          <t>A-初始化/渲染</t>
        </is>
      </c>
      <c r="C4" s="4" t="inlineStr">
        <is>
          <t>P0</t>
        </is>
      </c>
      <c r="D4" s="3" t="inlineStr">
        <is>
          <t>非摄影师访问被拒</t>
        </is>
      </c>
      <c r="E4" s="5" t="inlineStr">
        <is>
          <t>以 coser(13800138000) 登录</t>
        </is>
      </c>
      <c r="F4" s="5" t="inlineStr">
        <is>
          <t>打开该页</t>
        </is>
      </c>
      <c r="G4" s="5" t="inlineStr">
        <is>
          <t>toast「仅摄影师可管理套餐」，约1.2s 后返回上一页（HTTP 403）</t>
        </is>
      </c>
      <c r="H4" s="3" t="inlineStr">
        <is>
          <t>dev+prod</t>
        </is>
      </c>
      <c r="I4" s="15" t="inlineStr">
        <is>
          <t>通过</t>
        </is>
      </c>
      <c r="J4" s="15" t="inlineStr">
        <is>
          <t>coser 打开该页：mine/POST/PUT/DELETE 均 403；页面无崩溃</t>
        </is>
      </c>
      <c r="K4" s="5" t="inlineStr">
        <is>
          <t>loadServices 403 分支</t>
        </is>
      </c>
    </row>
    <row r="5">
      <c r="A5" s="3" t="inlineStr">
        <is>
          <t>A3</t>
        </is>
      </c>
      <c r="B5" s="3" t="inlineStr">
        <is>
          <t>A-初始化/渲染</t>
        </is>
      </c>
      <c r="C5" s="4" t="inlineStr">
        <is>
          <t>P0</t>
        </is>
      </c>
      <c r="D5" s="3" t="inlineStr">
        <is>
          <t>摄影师正常加载列表</t>
        </is>
      </c>
      <c r="E5" s="5" t="inlineStr">
        <is>
          <t>摄影师(10000000001)登录且有套餐</t>
        </is>
      </c>
      <c r="F5" s="5" t="inlineStr">
        <is>
          <t>打开该页</t>
        </is>
      </c>
      <c r="G5" s="5" t="inlineStr">
        <is>
          <t>显示「共 N 个套餐」，N == 接口返回条数</t>
        </is>
      </c>
      <c r="H5" s="3" t="inlineStr">
        <is>
          <t>dev+prod</t>
        </is>
      </c>
      <c r="I5" s="15" t="inlineStr">
        <is>
          <t>通过</t>
        </is>
      </c>
      <c r="J5" s="15" t="inlineStr">
        <is>
          <t>「共 5 个套餐」== DOM .service-card 数量 5（夹具态）</t>
        </is>
      </c>
      <c r="K5" s="5" t="inlineStr">
        <is>
          <t>getMyServices</t>
        </is>
      </c>
    </row>
    <row r="6">
      <c r="A6" s="3" t="inlineStr">
        <is>
          <t>A4</t>
        </is>
      </c>
      <c r="B6" s="3" t="inlineStr">
        <is>
          <t>A-初始化/渲染</t>
        </is>
      </c>
      <c r="C6" s="4" t="inlineStr">
        <is>
          <t>P1</t>
        </is>
      </c>
      <c r="D6" s="3" t="inlineStr">
        <is>
          <t>加载中状态</t>
        </is>
      </c>
      <c r="E6" s="5" t="inlineStr">
        <is>
          <t>摄影师登录、接口正常</t>
        </is>
      </c>
      <c r="F6" s="5" t="inlineStr">
        <is>
          <t>打开该页，观察加载瞬间</t>
        </is>
      </c>
      <c r="G6" s="5" t="inlineStr">
        <is>
          <t>先出现「加载中...」，数据到达后切换为列表</t>
        </is>
      </c>
      <c r="H6" s="3" t="inlineStr">
        <is>
          <t>dev</t>
        </is>
      </c>
      <c r="I6" s="15" t="inlineStr">
        <is>
          <t>通过(弱)</t>
        </is>
      </c>
      <c r="J6" s="15" t="inlineStr">
        <is>
          <t>`.loading-tip` 元素存在；未捕获瞬时窗口（快速接口下不可见）</t>
        </is>
      </c>
      <c r="K6" s="5" t="inlineStr">
        <is>
          <t>loading 态</t>
        </is>
      </c>
    </row>
    <row r="7">
      <c r="A7" s="3" t="inlineStr">
        <is>
          <t>A5</t>
        </is>
      </c>
      <c r="B7" s="3" t="inlineStr">
        <is>
          <t>A-初始化/渲染</t>
        </is>
      </c>
      <c r="C7" s="4" t="inlineStr">
        <is>
          <t>P1</t>
        </is>
      </c>
      <c r="D7" s="3" t="inlineStr">
        <is>
          <t>空态显示</t>
        </is>
      </c>
      <c r="E7" s="5" t="inlineStr">
        <is>
          <t>摄影师登录且套餐数为 0</t>
        </is>
      </c>
      <c r="F7" s="5" t="inlineStr">
        <is>
          <t>打开该页</t>
        </is>
      </c>
      <c r="G7" s="5" t="inlineStr">
        <is>
          <t>显示「暂无套餐」+「点击「新增套餐」或「一键预填平台模板」开始定价」</t>
        </is>
      </c>
      <c r="H7" s="3" t="inlineStr">
        <is>
          <t>dev</t>
        </is>
      </c>
      <c r="I7" s="15" t="inlineStr">
        <is>
          <t>通过</t>
        </is>
      </c>
      <c r="J7" s="15" t="inlineStr">
        <is>
          <t>套餐数 0 → 「暂无套餐」+「点击「新增套餐」或「一键预填平台模板」开始定价」</t>
        </is>
      </c>
      <c r="K7" s="5" t="inlineStr">
        <is>
          <t>需先清空该摄影师套餐</t>
        </is>
      </c>
    </row>
    <row r="8">
      <c r="A8" s="3" t="inlineStr">
        <is>
          <t>A6</t>
        </is>
      </c>
      <c r="B8" s="3" t="inlineStr">
        <is>
          <t>A-初始化/渲染</t>
        </is>
      </c>
      <c r="C8" s="4" t="inlineStr">
        <is>
          <t>P0</t>
        </is>
      </c>
      <c r="D8" s="3" t="inlineStr">
        <is>
          <t>列表卡片字段完整</t>
        </is>
      </c>
      <c r="E8" s="5" t="inlineStr">
        <is>
          <t>摄影师有套餐</t>
        </is>
      </c>
      <c r="F8" s="5" t="inlineStr">
        <is>
          <t>打开该页</t>
        </is>
      </c>
      <c r="G8" s="5" t="inlineStr">
        <is>
          <t>每卡含 名称/价格标签/时长/上架或下架/说明(有则)/编辑/删除</t>
        </is>
      </c>
      <c r="H8" s="3" t="inlineStr">
        <is>
          <t>dev+prod</t>
        </is>
      </c>
      <c r="I8" s="15" t="inlineStr">
        <is>
          <t>通过</t>
        </is>
      </c>
      <c r="J8" s="15" t="inlineStr">
        <is>
          <t>5 张卡均含 名称 / 价格 / 时长 / 上架 / 编辑 / 删除</t>
        </is>
      </c>
      <c r="K8" s="5" t="inlineStr">
        <is>
          <t>service-card 结构</t>
        </is>
      </c>
    </row>
    <row r="9">
      <c r="A9" s="3" t="inlineStr">
        <is>
          <t>B1</t>
        </is>
      </c>
      <c r="B9" s="3" t="inlineStr">
        <is>
          <t>B-三态价格</t>
        </is>
      </c>
      <c r="C9" s="4" t="inlineStr">
        <is>
          <t>P0</t>
        </is>
      </c>
      <c r="D9" s="3" t="inlineStr">
        <is>
          <t>面议渲染(price=null)</t>
        </is>
      </c>
      <c r="E9" s="5" t="inlineStr">
        <is>
          <t>存在 price=NULL 套餐</t>
        </is>
      </c>
      <c r="F9" s="5" t="inlineStr">
        <is>
          <t>打开列表</t>
        </is>
      </c>
      <c r="G9" s="5" t="inlineStr">
        <is>
          <t>该条显示「面议」且元素带 is-negotiable 类</t>
        </is>
      </c>
      <c r="H9" s="3" t="inlineStr">
        <is>
          <t>dev+prod</t>
        </is>
      </c>
      <c r="I9" s="15" t="inlineStr">
        <is>
          <t>通过</t>
        </is>
      </c>
      <c r="J9" s="15" t="inlineStr">
        <is>
          <t>基础套餐 =&gt; 「面议」，className 含 is-negotiable</t>
        </is>
      </c>
      <c r="K9" s="5" t="inlineStr">
        <is>
          <t>renderPrice/priceClass</t>
        </is>
      </c>
    </row>
    <row r="10">
      <c r="A10" s="3" t="inlineStr">
        <is>
          <t>B2</t>
        </is>
      </c>
      <c r="B10" s="3" t="inlineStr">
        <is>
          <t>B-三态价格</t>
        </is>
      </c>
      <c r="C10" s="4" t="inlineStr">
        <is>
          <t>P0</t>
        </is>
      </c>
      <c r="D10" s="3" t="inlineStr">
        <is>
          <t>互勉渲染(price=0)</t>
        </is>
      </c>
      <c r="E10" s="5" t="inlineStr">
        <is>
          <t>存在 price=0 套餐</t>
        </is>
      </c>
      <c r="F10" s="5" t="inlineStr">
        <is>
          <t>打开列表</t>
        </is>
      </c>
      <c r="G10" s="5" t="inlineStr">
        <is>
          <t>该条显示「互勉」且带 is-mutual 类</t>
        </is>
      </c>
      <c r="H10" s="3" t="inlineStr">
        <is>
          <t>dev+prod</t>
        </is>
      </c>
      <c r="I10" s="15" t="inlineStr">
        <is>
          <t>通过</t>
        </is>
      </c>
      <c r="J10" s="15" t="inlineStr">
        <is>
          <t>进阶套餐 =&gt; 「互勉」，className 含 is-mutual</t>
        </is>
      </c>
      <c r="K10" s="5" t="inlineStr">
        <is>
          <t>同上</t>
        </is>
      </c>
    </row>
    <row r="11">
      <c r="A11" s="3" t="inlineStr">
        <is>
          <t>B3</t>
        </is>
      </c>
      <c r="B11" s="3" t="inlineStr">
        <is>
          <t>B-三态价格</t>
        </is>
      </c>
      <c r="C11" s="4" t="inlineStr">
        <is>
          <t>P0</t>
        </is>
      </c>
      <c r="D11" s="3" t="inlineStr">
        <is>
          <t>固定价渲染(price&gt;0)</t>
        </is>
      </c>
      <c r="E11" s="5" t="inlineStr">
        <is>
          <t>存在 price=399 套餐</t>
        </is>
      </c>
      <c r="F11" s="5" t="inlineStr">
        <is>
          <t>打开列表</t>
        </is>
      </c>
      <c r="G11" s="5" t="inlineStr">
        <is>
          <t>该条显示「¥399」且带 is-fixed 类</t>
        </is>
      </c>
      <c r="H11" s="3" t="inlineStr">
        <is>
          <t>dev+prod</t>
        </is>
      </c>
      <c r="I11" s="15" t="inlineStr">
        <is>
          <t>通过</t>
        </is>
      </c>
      <c r="J11" s="15" t="inlineStr">
        <is>
          <t>精品套餐 =&gt; 「¥399」，className 含 is-fixed</t>
        </is>
      </c>
      <c r="K11" s="5" t="inlineStr">
        <is>
          <t>同上</t>
        </is>
      </c>
    </row>
    <row r="12">
      <c r="A12" s="3" t="inlineStr">
        <is>
          <t>C1</t>
        </is>
      </c>
      <c r="B12" s="3" t="inlineStr">
        <is>
          <t>C-时长格式化</t>
        </is>
      </c>
      <c r="C12" s="4" t="inlineStr">
        <is>
          <t>P1</t>
        </is>
      </c>
      <c r="D12" s="3" t="inlineStr">
        <is>
          <t>duration=0 → 未填写</t>
        </is>
      </c>
      <c r="E12" s="5" t="inlineStr">
        <is>
          <t>套餐 duration=0</t>
        </is>
      </c>
      <c r="F12" s="5" t="inlineStr">
        <is>
          <t>打开列表</t>
        </is>
      </c>
      <c r="G12" s="5" t="inlineStr">
        <is>
          <t>显示「未填写」</t>
        </is>
      </c>
      <c r="H12" s="3" t="inlineStr">
        <is>
          <t>dev</t>
        </is>
      </c>
      <c r="I12" s="15" t="inlineStr">
        <is>
          <t>通过</t>
        </is>
      </c>
      <c r="J12" s="15" t="inlineStr">
        <is>
          <t>duration=0 → 「未填写」</t>
        </is>
      </c>
      <c r="K12" s="5" t="inlineStr">
        <is>
          <t>formatDuration</t>
        </is>
      </c>
    </row>
    <row r="13">
      <c r="A13" s="3" t="inlineStr">
        <is>
          <t>C2</t>
        </is>
      </c>
      <c r="B13" s="3" t="inlineStr">
        <is>
          <t>C-时长格式化</t>
        </is>
      </c>
      <c r="C13" s="4" t="inlineStr">
        <is>
          <t>P1</t>
        </is>
      </c>
      <c r="D13" s="3" t="inlineStr">
        <is>
          <t>duration&lt;60 → N 分钟</t>
        </is>
      </c>
      <c r="E13" s="5" t="inlineStr">
        <is>
          <t>套餐 duration=45</t>
        </is>
      </c>
      <c r="F13" s="5" t="inlineStr">
        <is>
          <t>打开列表</t>
        </is>
      </c>
      <c r="G13" s="5" t="inlineStr">
        <is>
          <t>显示「45 分钟」</t>
        </is>
      </c>
      <c r="H13" s="3" t="inlineStr">
        <is>
          <t>dev</t>
        </is>
      </c>
      <c r="I13" s="15" t="inlineStr">
        <is>
          <t>通过</t>
        </is>
      </c>
      <c r="J13" s="15" t="inlineStr">
        <is>
          <t>duration=45 → 「45 分钟」</t>
        </is>
      </c>
      <c r="K13" s="5" t="inlineStr">
        <is>
          <t>同上</t>
        </is>
      </c>
    </row>
    <row r="14">
      <c r="A14" s="3" t="inlineStr">
        <is>
          <t>C3</t>
        </is>
      </c>
      <c r="B14" s="3" t="inlineStr">
        <is>
          <t>C-时长格式化</t>
        </is>
      </c>
      <c r="C14" s="4" t="inlineStr">
        <is>
          <t>P1</t>
        </is>
      </c>
      <c r="D14" s="3" t="inlineStr">
        <is>
          <t>duration=60 → 1 小时</t>
        </is>
      </c>
      <c r="E14" s="5" t="inlineStr">
        <is>
          <t>套餐 duration=60</t>
        </is>
      </c>
      <c r="F14" s="5" t="inlineStr">
        <is>
          <t>打开列表</t>
        </is>
      </c>
      <c r="G14" s="5" t="inlineStr">
        <is>
          <t>显示「1 小时」</t>
        </is>
      </c>
      <c r="H14" s="3" t="inlineStr">
        <is>
          <t>dev</t>
        </is>
      </c>
      <c r="I14" s="15" t="inlineStr">
        <is>
          <t>通过</t>
        </is>
      </c>
      <c r="J14" s="15" t="inlineStr">
        <is>
          <t>duration=60 → 「1 小时」</t>
        </is>
      </c>
      <c r="K14" s="5" t="inlineStr">
        <is>
          <t>同上</t>
        </is>
      </c>
    </row>
    <row r="15">
      <c r="A15" s="3" t="inlineStr">
        <is>
          <t>C4</t>
        </is>
      </c>
      <c r="B15" s="3" t="inlineStr">
        <is>
          <t>C-时长格式化</t>
        </is>
      </c>
      <c r="C15" s="4" t="inlineStr">
        <is>
          <t>P1</t>
        </is>
      </c>
      <c r="D15" s="3" t="inlineStr">
        <is>
          <t>duration=90 → 1 小时 30 分钟</t>
        </is>
      </c>
      <c r="E15" s="5" t="inlineStr">
        <is>
          <t>套餐 duration=90</t>
        </is>
      </c>
      <c r="F15" s="5" t="inlineStr">
        <is>
          <t>打开列表</t>
        </is>
      </c>
      <c r="G15" s="5" t="inlineStr">
        <is>
          <t>显示「1 小时 30 分钟」</t>
        </is>
      </c>
      <c r="H15" s="3" t="inlineStr">
        <is>
          <t>dev</t>
        </is>
      </c>
      <c r="I15" s="15" t="inlineStr">
        <is>
          <t>通过</t>
        </is>
      </c>
      <c r="J15" s="15" t="inlineStr">
        <is>
          <t>duration=90 → 「1 小时 30 分钟」</t>
        </is>
      </c>
      <c r="K15" s="5" t="inlineStr">
        <is>
          <t>同上</t>
        </is>
      </c>
    </row>
    <row r="16">
      <c r="A16" s="3" t="inlineStr">
        <is>
          <t>C5</t>
        </is>
      </c>
      <c r="B16" s="3" t="inlineStr">
        <is>
          <t>C-时长格式化</t>
        </is>
      </c>
      <c r="C16" s="4" t="inlineStr">
        <is>
          <t>P1</t>
        </is>
      </c>
      <c r="D16" s="3" t="inlineStr">
        <is>
          <t>duration=480 → 8 小时</t>
        </is>
      </c>
      <c r="E16" s="5" t="inlineStr">
        <is>
          <t>套餐 duration=480</t>
        </is>
      </c>
      <c r="F16" s="5" t="inlineStr">
        <is>
          <t>打开列表</t>
        </is>
      </c>
      <c r="G16" s="5" t="inlineStr">
        <is>
          <t>显示「8 小时」</t>
        </is>
      </c>
      <c r="H16" s="3" t="inlineStr">
        <is>
          <t>dev</t>
        </is>
      </c>
      <c r="I16" s="15" t="inlineStr">
        <is>
          <t>通过</t>
        </is>
      </c>
      <c r="J16" s="15" t="inlineStr">
        <is>
          <t>duration=480 → 「8 小时」</t>
        </is>
      </c>
      <c r="K16" s="5" t="inlineStr">
        <is>
          <t>同上</t>
        </is>
      </c>
    </row>
    <row r="17">
      <c r="A17" s="3" t="inlineStr">
        <is>
          <t>D1</t>
        </is>
      </c>
      <c r="B17" s="3" t="inlineStr">
        <is>
          <t>D-新增套餐</t>
        </is>
      </c>
      <c r="C17" s="4" t="inlineStr">
        <is>
          <t>P0</t>
        </is>
      </c>
      <c r="D17" s="3" t="inlineStr">
        <is>
          <t>打新增表单并重置字段</t>
        </is>
      </c>
      <c r="E17" s="5" t="inlineStr">
        <is>
          <t>先前编辑过某套餐</t>
        </is>
      </c>
      <c r="F17" s="5" t="inlineStr">
        <is>
          <t>点「＋ 新增套餐」</t>
        </is>
      </c>
      <c r="G17" s="5" t="inlineStr">
        <is>
          <t>标题「新增套餐」；名称空/价格空/时长60/说明空（无上次残留）</t>
        </is>
      </c>
      <c r="H17" s="3" t="inlineStr">
        <is>
          <t>dev</t>
        </is>
      </c>
      <c r="I17" s="15" t="inlineStr">
        <is>
          <t>通过</t>
        </is>
      </c>
      <c r="J17" s="15" t="inlineStr">
        <is>
          <t>标题「新增套餐」；输入框值 ["","","60",""]</t>
        </is>
      </c>
      <c r="K17" s="5" t="inlineStr">
        <is>
          <t>openForm</t>
        </is>
      </c>
    </row>
    <row r="18">
      <c r="A18" s="3" t="inlineStr">
        <is>
          <t>D2</t>
        </is>
      </c>
      <c r="B18" s="3" t="inlineStr">
        <is>
          <t>D-新增套餐</t>
        </is>
      </c>
      <c r="C18" s="4" t="inlineStr">
        <is>
          <t>P0</t>
        </is>
      </c>
      <c r="D18" s="3" t="inlineStr">
        <is>
          <t>名称为空时提交按钮禁用</t>
        </is>
      </c>
      <c r="E18" s="5" t="inlineStr">
        <is>
          <t>新增表单且名称为空</t>
        </is>
      </c>
      <c r="F18" s="5" t="inlineStr">
        <is>
          <t>观察并点击「创建套餐」</t>
        </is>
      </c>
      <c r="G18" s="5" t="inlineStr">
        <is>
          <t>按钮带 disabled 类；点击不发起任何请求</t>
        </is>
      </c>
      <c r="H18" s="3" t="inlineStr">
        <is>
          <t>dev</t>
        </is>
      </c>
      <c r="I18" s="15" t="inlineStr">
        <is>
          <t>通过</t>
        </is>
      </c>
      <c r="J18" s="15" t="inlineStr">
        <is>
          <t>btn-submit 含 disabled；点击后仍在表单、无请求</t>
        </is>
      </c>
      <c r="K18" s="5" t="inlineStr">
        <is>
          <t>canSubmit</t>
        </is>
      </c>
    </row>
    <row r="19">
      <c r="A19" s="3" t="inlineStr">
        <is>
          <t>D3</t>
        </is>
      </c>
      <c r="B19" s="3" t="inlineStr">
        <is>
          <t>D-新增套餐</t>
        </is>
      </c>
      <c r="C19" s="4" t="inlineStr">
        <is>
          <t>P0</t>
        </is>
      </c>
      <c r="D19" s="3" t="inlineStr">
        <is>
          <t>新增面议套餐</t>
        </is>
      </c>
      <c r="E19" s="5" t="inlineStr">
        <is>
          <t>名称=面议套餐、价格留空</t>
        </is>
      </c>
      <c r="F19" s="5" t="inlineStr">
        <is>
          <t>点「创建套餐」</t>
        </is>
      </c>
      <c r="G19" s="5" t="inlineStr">
        <is>
          <t>toast「创建成功」→ 回列表 → 新条目显示「面议」</t>
        </is>
      </c>
      <c r="H19" s="3" t="inlineStr">
        <is>
          <t>dev</t>
        </is>
      </c>
      <c r="I19" s="15" t="inlineStr">
        <is>
          <t>通过</t>
        </is>
      </c>
      <c r="J19" s="15" t="inlineStr">
        <is>
          <t>「用例-面议」price 留空 → 列表显示「面议」</t>
        </is>
      </c>
      <c r="K19" s="5" t="inlineStr">
        <is>
          <t>空→null</t>
        </is>
      </c>
    </row>
    <row r="20">
      <c r="A20" s="3" t="inlineStr">
        <is>
          <t>D4</t>
        </is>
      </c>
      <c r="B20" s="3" t="inlineStr">
        <is>
          <t>D-新增套餐</t>
        </is>
      </c>
      <c r="C20" s="4" t="inlineStr">
        <is>
          <t>P0</t>
        </is>
      </c>
      <c r="D20" s="3" t="inlineStr">
        <is>
          <t>新增互勉套餐</t>
        </is>
      </c>
      <c r="E20" s="5" t="inlineStr">
        <is>
          <t>名称=互勉套餐、价格=0</t>
        </is>
      </c>
      <c r="F20" s="5" t="inlineStr">
        <is>
          <t>点「创建套餐」</t>
        </is>
      </c>
      <c r="G20" s="5" t="inlineStr">
        <is>
          <t>新条目显示「互勉」</t>
        </is>
      </c>
      <c r="H20" s="3" t="inlineStr">
        <is>
          <t>dev</t>
        </is>
      </c>
      <c r="I20" s="15" t="inlineStr">
        <is>
          <t>通过</t>
        </is>
      </c>
      <c r="J20" s="15" t="inlineStr">
        <is>
          <t>「用例-互勉」price=0 → 列表显示「互勉」（未被当成面议）</t>
        </is>
      </c>
      <c r="K20" s="5" t="inlineStr">
        <is>
          <t>0 不得被当成面议</t>
        </is>
      </c>
    </row>
    <row r="21">
      <c r="A21" s="3" t="inlineStr">
        <is>
          <t>D5</t>
        </is>
      </c>
      <c r="B21" s="3" t="inlineStr">
        <is>
          <t>D-新增套餐</t>
        </is>
      </c>
      <c r="C21" s="4" t="inlineStr">
        <is>
          <t>P0</t>
        </is>
      </c>
      <c r="D21" s="3" t="inlineStr">
        <is>
          <t>新增固定价套餐</t>
        </is>
      </c>
      <c r="E21" s="5" t="inlineStr">
        <is>
          <t>名称=固定价套餐、价格=399</t>
        </is>
      </c>
      <c r="F21" s="5" t="inlineStr">
        <is>
          <t>点「创建套餐」</t>
        </is>
      </c>
      <c r="G21" s="5" t="inlineStr">
        <is>
          <t>新条目显示「¥399」</t>
        </is>
      </c>
      <c r="H21" s="3" t="inlineStr">
        <is>
          <t>dev</t>
        </is>
      </c>
      <c r="I21" s="15" t="inlineStr">
        <is>
          <t>通过</t>
        </is>
      </c>
      <c r="J21" s="15" t="inlineStr">
        <is>
          <t>「用例-固定价」price=399 → 列表显示「¥399」</t>
        </is>
      </c>
      <c r="K21" s="5" t="inlineStr">
        <is>
          <t>基础路径</t>
        </is>
      </c>
    </row>
    <row r="22">
      <c r="A22" s="3" t="inlineStr">
        <is>
          <t>D6</t>
        </is>
      </c>
      <c r="B22" s="3" t="inlineStr">
        <is>
          <t>D-新增套餐</t>
        </is>
      </c>
      <c r="C22" s="4" t="inlineStr">
        <is>
          <t>P1</t>
        </is>
      </c>
      <c r="D22" s="3" t="inlineStr">
        <is>
          <t>非法价格提示且不创建</t>
        </is>
      </c>
      <c r="E22" s="5" t="inlineStr">
        <is>
          <t>价格填 -1 或非数字</t>
        </is>
      </c>
      <c r="F22" s="5" t="inlineStr">
        <is>
          <t>点「创建套餐」</t>
        </is>
      </c>
      <c r="G22" s="5" t="inlineStr">
        <is>
          <t>toast「价格需为不小于 0 的数字」，未创建</t>
        </is>
      </c>
      <c r="H22" s="3" t="inlineStr">
        <is>
          <t>dev</t>
        </is>
      </c>
      <c r="I22" s="15" t="inlineStr">
        <is>
          <t>通过</t>
        </is>
      </c>
      <c r="J22" s="15" t="inlineStr">
        <is>
          <t>price=-1 → 仍停留表单；套餐数 8→8 未创建</t>
        </is>
      </c>
      <c r="K22" s="5" t="inlineStr">
        <is>
          <t>normalizedPrice undefined</t>
        </is>
      </c>
    </row>
    <row r="23">
      <c r="A23" s="3" t="inlineStr">
        <is>
          <t>D7</t>
        </is>
      </c>
      <c r="B23" s="3" t="inlineStr">
        <is>
          <t>D-新增套餐</t>
        </is>
      </c>
      <c r="C23" s="4" t="inlineStr">
        <is>
          <t>P1</t>
        </is>
      </c>
      <c r="D23" s="3" t="inlineStr">
        <is>
          <t>返回列表不创建</t>
        </is>
      </c>
      <c r="E23" s="5" t="inlineStr">
        <is>
          <t>表单已填写内容</t>
        </is>
      </c>
      <c r="F23" s="5" t="inlineStr">
        <is>
          <t>点「返回列表」</t>
        </is>
      </c>
      <c r="G23" s="5" t="inlineStr">
        <is>
          <t>回到列表，套餐条数不变</t>
        </is>
      </c>
      <c r="H23" s="3" t="inlineStr">
        <is>
          <t>dev</t>
        </is>
      </c>
      <c r="I23" s="15" t="inlineStr">
        <is>
          <t>通过</t>
        </is>
      </c>
      <c r="J23" s="15" t="inlineStr">
        <is>
          <t>「返回列表」→ 列表模式，条数 8 不变</t>
        </is>
      </c>
      <c r="K23" s="5" t="inlineStr">
        <is>
          <t>cancelForm</t>
        </is>
      </c>
    </row>
    <row r="24">
      <c r="A24" s="3" t="inlineStr">
        <is>
          <t>D8</t>
        </is>
      </c>
      <c r="B24" s="3" t="inlineStr">
        <is>
          <t>D-新增套餐</t>
        </is>
      </c>
      <c r="C24" s="4" t="inlineStr">
        <is>
          <t>P1</t>
        </is>
      </c>
      <c r="D24" s="3" t="inlineStr">
        <is>
          <t>连续新增无残留</t>
        </is>
      </c>
      <c r="E24" s="5" t="inlineStr">
        <is>
          <t>刚新增一个套餐</t>
        </is>
      </c>
      <c r="F24" s="5" t="inlineStr">
        <is>
          <t>再点「＋ 新增套餐」</t>
        </is>
      </c>
      <c r="G24" s="5" t="inlineStr">
        <is>
          <t>字段为初始值（空/空/60/空）</t>
        </is>
      </c>
      <c r="H24" s="3" t="inlineStr">
        <is>
          <t>dev</t>
        </is>
      </c>
      <c r="I24" s="15" t="inlineStr">
        <is>
          <t>通过</t>
        </is>
      </c>
      <c r="J24" s="15" t="inlineStr">
        <is>
          <t>再次新增 → 字段重置 ["","","60",""]</t>
        </is>
      </c>
      <c r="K24" s="5" t="inlineStr">
        <is>
          <t>openForm 重置</t>
        </is>
      </c>
    </row>
    <row r="25">
      <c r="A25" s="3" t="inlineStr">
        <is>
          <t>E1</t>
        </is>
      </c>
      <c r="B25" s="3" t="inlineStr">
        <is>
          <t>E-编辑套餐</t>
        </is>
      </c>
      <c r="C25" s="4" t="inlineStr">
        <is>
          <t>P0</t>
        </is>
      </c>
      <c r="D25" s="3" t="inlineStr">
        <is>
          <t>编辑表单预填正确</t>
        </is>
      </c>
      <c r="E25" s="5" t="inlineStr">
        <is>
          <t>存在固定价 399 套餐</t>
        </is>
      </c>
      <c r="F25" s="5" t="inlineStr">
        <is>
          <t>点该条「编辑」</t>
        </is>
      </c>
      <c r="G25" s="5" t="inlineStr">
        <is>
          <t>标题「编辑套餐」；名称/价格399/时长/说明 均预填</t>
        </is>
      </c>
      <c r="H25" s="3" t="inlineStr">
        <is>
          <t>dev+prod</t>
        </is>
      </c>
      <c r="I25" s="15" t="inlineStr">
        <is>
          <t>通过</t>
        </is>
      </c>
      <c r="J25" s="15" t="inlineStr">
        <is>
          <t>标题「编辑套餐」；值 ["用例-固定价","399","60",""]；按钮「保存修改」</t>
        </is>
      </c>
      <c r="K25" s="5" t="inlineStr">
        <is>
          <t>openEdit</t>
        </is>
      </c>
    </row>
    <row r="26">
      <c r="A26" s="3" t="inlineStr">
        <is>
          <t>E2</t>
        </is>
      </c>
      <c r="B26" s="3" t="inlineStr">
        <is>
          <t>E-编辑套餐</t>
        </is>
      </c>
      <c r="C26" s="4" t="inlineStr">
        <is>
          <t>P0</t>
        </is>
      </c>
      <c r="D26" s="3" t="inlineStr">
        <is>
          <t>面议套餐编辑价格为空</t>
        </is>
      </c>
      <c r="E26" s="5" t="inlineStr">
        <is>
          <t>存在 price=NULL 套餐</t>
        </is>
      </c>
      <c r="F26" s="5" t="inlineStr">
        <is>
          <t>点该条「编辑」</t>
        </is>
      </c>
      <c r="G26" s="5" t="inlineStr">
        <is>
          <t>价格输入框为空（null→''）</t>
        </is>
      </c>
      <c r="H26" s="3" t="inlineStr">
        <is>
          <t>dev</t>
        </is>
      </c>
      <c r="I26" s="15" t="inlineStr">
        <is>
          <t>通过</t>
        </is>
      </c>
      <c r="J26" s="15" t="inlineStr">
        <is>
          <t>「用例-面议」→ 价格框为空（null→'' 未被写成 0）</t>
        </is>
      </c>
      <c r="K26" s="5" t="inlineStr">
        <is>
          <t>null 与 0 不得混</t>
        </is>
      </c>
    </row>
    <row r="27">
      <c r="A27" s="3" t="inlineStr">
        <is>
          <t>E3</t>
        </is>
      </c>
      <c r="B27" s="3" t="inlineStr">
        <is>
          <t>E-编辑套餐</t>
        </is>
      </c>
      <c r="C27" s="4" t="inlineStr">
        <is>
          <t>P0</t>
        </is>
      </c>
      <c r="D27" s="3" t="inlineStr">
        <is>
          <t>保存修改生效</t>
        </is>
      </c>
      <c r="E27" s="5" t="inlineStr">
        <is>
          <t>编辑某套餐改名称与价格</t>
        </is>
      </c>
      <c r="F27" s="5" t="inlineStr">
        <is>
          <t>点「保存修改」</t>
        </is>
      </c>
      <c r="G27" s="5" t="inlineStr">
        <is>
          <t>toast「已保存」→ 回列表 → 卡片反映新值</t>
        </is>
      </c>
      <c r="H27" s="3" t="inlineStr">
        <is>
          <t>dev</t>
        </is>
      </c>
      <c r="I27" s="15" t="inlineStr">
        <is>
          <t>通过</t>
        </is>
      </c>
      <c r="J27" s="15" t="inlineStr">
        <is>
          <t>改名+改价 888 保存 → 列表「用例-已编辑 =&gt; ¥888」</t>
        </is>
      </c>
      <c r="K27" s="5" t="inlineStr">
        <is>
          <t>updateService</t>
        </is>
      </c>
    </row>
    <row r="28">
      <c r="A28" s="3" t="inlineStr">
        <is>
          <t>E4</t>
        </is>
      </c>
      <c r="B28" s="3" t="inlineStr">
        <is>
          <t>E-编辑套餐</t>
        </is>
      </c>
      <c r="C28" s="4" t="inlineStr">
        <is>
          <t>P1</t>
        </is>
      </c>
      <c r="D28" s="3" t="inlineStr">
        <is>
          <t>编辑改为面议</t>
        </is>
      </c>
      <c r="E28" s="5" t="inlineStr">
        <is>
          <t>原 399 套餐，价格清空</t>
        </is>
      </c>
      <c r="F28" s="5" t="inlineStr">
        <is>
          <t>保存</t>
        </is>
      </c>
      <c r="G28" s="5" t="inlineStr">
        <is>
          <t>列表该条目变为「面议」</t>
        </is>
      </c>
      <c r="H28" s="3" t="inlineStr">
        <is>
          <t>dev</t>
        </is>
      </c>
      <c r="I28" s="15" t="inlineStr">
        <is>
          <t>通过</t>
        </is>
      </c>
      <c r="J28" s="15" t="inlineStr">
        <is>
          <t>清空价格保存 → 列表「用例-固定价 =&gt; 面议」</t>
        </is>
      </c>
      <c r="K28" s="5" t="inlineStr">
        <is>
          <t>清空→null</t>
        </is>
      </c>
    </row>
    <row r="29">
      <c r="A29" s="3" t="inlineStr">
        <is>
          <t>F1</t>
        </is>
      </c>
      <c r="B29" s="3" t="inlineStr">
        <is>
          <t>F-删除套餐</t>
        </is>
      </c>
      <c r="C29" s="4" t="inlineStr">
        <is>
          <t>P0</t>
        </is>
      </c>
      <c r="D29" s="3" t="inlineStr">
        <is>
          <t>删除二次确认文案正确</t>
        </is>
      </c>
      <c r="E29" s="5" t="inlineStr">
        <is>
          <t>任一套餐</t>
        </is>
      </c>
      <c r="F29" s="5" t="inlineStr">
        <is>
          <t>点「删除」</t>
        </is>
      </c>
      <c r="G29" s="5" t="inlineStr">
        <is>
          <t>标题「删除套餐」；内容含套餐名+「删除后不可恢复，历史订单不受影响」；确认钮红色</t>
        </is>
      </c>
      <c r="H29" s="3" t="inlineStr">
        <is>
          <t>dev</t>
        </is>
      </c>
      <c r="I29" s="15" t="inlineStr">
        <is>
          <t>通过(带缺陷)</t>
        </is>
      </c>
      <c r="J29" s="15" t="inlineStr">
        <is>
          <t>文案正确：含套餐名 +「删除后不可恢复，历史订单不受影响」；❌ 按钮为英文 Cancel/OK</t>
        </is>
      </c>
      <c r="K29" s="5" t="inlineStr">
        <is>
          <t>confirmDelete 文案</t>
        </is>
      </c>
    </row>
    <row r="30">
      <c r="A30" s="3" t="inlineStr">
        <is>
          <t>F2</t>
        </is>
      </c>
      <c r="B30" s="3" t="inlineStr">
        <is>
          <t>F-删除套餐</t>
        </is>
      </c>
      <c r="C30" s="4" t="inlineStr">
        <is>
          <t>P0</t>
        </is>
      </c>
      <c r="D30" s="3" t="inlineStr">
        <is>
          <t>取消删除不生效</t>
        </is>
      </c>
      <c r="E30" s="5" t="inlineStr">
        <is>
          <t>删除弹窗已弹出</t>
        </is>
      </c>
      <c r="F30" s="5" t="inlineStr">
        <is>
          <t>点取消</t>
        </is>
      </c>
      <c r="G30" s="5" t="inlineStr">
        <is>
          <t>套餐仍存在，条数不变</t>
        </is>
      </c>
      <c r="H30" s="3" t="inlineStr">
        <is>
          <t>dev</t>
        </is>
      </c>
      <c r="I30" s="15" t="inlineStr">
        <is>
          <t>通过</t>
        </is>
      </c>
      <c r="J30" s="15" t="inlineStr">
        <is>
          <t>点 Cancel → 弹窗关闭；套餐数 8→8 未删除</t>
        </is>
      </c>
      <c r="K30" s="5" t="inlineStr">
        <is>
          <t>负向</t>
        </is>
      </c>
    </row>
    <row r="31">
      <c r="A31" s="3" t="inlineStr">
        <is>
          <t>F3</t>
        </is>
      </c>
      <c r="B31" s="3" t="inlineStr">
        <is>
          <t>F-删除套餐</t>
        </is>
      </c>
      <c r="C31" s="4" t="inlineStr">
        <is>
          <t>P0</t>
        </is>
      </c>
      <c r="D31" s="3" t="inlineStr">
        <is>
          <t>确认删除成功</t>
        </is>
      </c>
      <c r="E31" s="5" t="inlineStr">
        <is>
          <t>删除弹窗已弹出</t>
        </is>
      </c>
      <c r="F31" s="5" t="inlineStr">
        <is>
          <t>点确定</t>
        </is>
      </c>
      <c r="G31" s="5" t="inlineStr">
        <is>
          <t>删除成功，列表刷新，条目消失</t>
        </is>
      </c>
      <c r="H31" s="3" t="inlineStr">
        <is>
          <t>dev</t>
        </is>
      </c>
      <c r="I31" s="15" t="inlineStr">
        <is>
          <t>通过</t>
        </is>
      </c>
      <c r="J31" s="15" t="inlineStr">
        <is>
          <t>点 OK → 套餐数 8→7，列表该条目消失</t>
        </is>
      </c>
      <c r="K31" s="5" t="inlineStr">
        <is>
          <t>deleteService</t>
        </is>
      </c>
    </row>
    <row r="32">
      <c r="A32" s="3" t="inlineStr">
        <is>
          <t>G1</t>
        </is>
      </c>
      <c r="B32" s="3" t="inlineStr">
        <is>
          <t>G-一键预填</t>
        </is>
      </c>
      <c r="C32" s="4" t="inlineStr">
        <is>
          <t>P0</t>
        </is>
      </c>
      <c r="D32" s="3" t="inlineStr">
        <is>
          <t>预填确认弹窗</t>
        </is>
      </c>
      <c r="E32" s="5" t="inlineStr">
        <is>
          <t>摄影师登录</t>
        </is>
      </c>
      <c r="F32" s="5" t="inlineStr">
        <is>
          <t>点「一键预填平台模板」</t>
        </is>
      </c>
      <c r="G32" s="5" t="inlineStr">
        <is>
          <t>弹窗「预填平台模板」+「将平台模板创建为你的套餐，可再次编辑价格与说明。继续？」</t>
        </is>
      </c>
      <c r="H32" s="3" t="inlineStr">
        <is>
          <t>dev</t>
        </is>
      </c>
      <c r="I32" s="15" t="inlineStr">
        <is>
          <t>通过(带缺陷)</t>
        </is>
      </c>
      <c r="J32" s="15" t="inlineStr">
        <is>
          <t>文案正确：「预填平台模板」+说明；❌ 按钮为英文 Cancel/OK</t>
        </is>
      </c>
      <c r="K32" s="5" t="inlineStr">
        <is>
          <t>prefillTemplates</t>
        </is>
      </c>
    </row>
    <row r="33">
      <c r="A33" s="3" t="inlineStr">
        <is>
          <t>G2</t>
        </is>
      </c>
      <c r="B33" s="3" t="inlineStr">
        <is>
          <t>G-一键预填</t>
        </is>
      </c>
      <c r="C33" s="4" t="inlineStr">
        <is>
          <t>P1</t>
        </is>
      </c>
      <c r="D33" s="3" t="inlineStr">
        <is>
          <t>取消预填不新增</t>
        </is>
      </c>
      <c r="E33" s="5" t="inlineStr">
        <is>
          <t>预填弹窗已弹出</t>
        </is>
      </c>
      <c r="F33" s="5" t="inlineStr">
        <is>
          <t>点取消</t>
        </is>
      </c>
      <c r="G33" s="5" t="inlineStr">
        <is>
          <t>未新增任何套餐，条数不变</t>
        </is>
      </c>
      <c r="H33" s="3" t="inlineStr">
        <is>
          <t>dev</t>
        </is>
      </c>
      <c r="I33" s="15" t="inlineStr">
        <is>
          <t>通过</t>
        </is>
      </c>
      <c r="J33" s="15" t="inlineStr">
        <is>
          <t>点 Cancel → 套装数 7→7 未新增</t>
        </is>
      </c>
      <c r="K33" s="5" t="inlineStr">
        <is>
          <t>负向</t>
        </is>
      </c>
    </row>
    <row r="34">
      <c r="A34" s="3" t="inlineStr">
        <is>
          <t>G3</t>
        </is>
      </c>
      <c r="B34" s="3" t="inlineStr">
        <is>
          <t>G-一键预填</t>
        </is>
      </c>
      <c r="C34" s="4" t="inlineStr">
        <is>
          <t>P0</t>
        </is>
      </c>
      <c r="D34" s="3" t="inlineStr">
        <is>
          <t>预填成功计数正确</t>
        </is>
      </c>
      <c r="E34" s="5" t="inlineStr">
        <is>
          <t>平台模板存在</t>
        </is>
      </c>
      <c r="F34" s="5" t="inlineStr">
        <is>
          <t>确认预填</t>
        </is>
      </c>
      <c r="G34" s="5" t="inlineStr">
        <is>
          <t>toast「已预填 N 个套餐」(N=模板数)，列表新增 N 条</t>
        </is>
      </c>
      <c r="H34" s="3" t="inlineStr">
        <is>
          <t>dev</t>
        </is>
      </c>
      <c r="I34" s="15" t="inlineStr">
        <is>
          <t>通过</t>
        </is>
      </c>
      <c r="J34" s="15" t="inlineStr">
        <is>
          <t>平台模板 4 → 确认后 7→11（=7+4）</t>
        </is>
      </c>
      <c r="K34" s="5" t="inlineStr">
        <is>
          <t>逐条 createService</t>
        </is>
      </c>
    </row>
    <row r="35">
      <c r="A35" s="3" t="inlineStr">
        <is>
          <t>G4</t>
        </is>
      </c>
      <c r="B35" s="3" t="inlineStr">
        <is>
          <t>G-一键预填</t>
        </is>
      </c>
      <c r="C35" s="4" t="inlineStr">
        <is>
          <t>P1</t>
        </is>
      </c>
      <c r="D35" s="3" t="inlineStr">
        <is>
          <t>无模板时给出提示</t>
        </is>
      </c>
      <c r="E35" s="5" t="inlineStr">
        <is>
          <t>平台模板为空</t>
        </is>
      </c>
      <c r="F35" s="5" t="inlineStr">
        <is>
          <t>确认预填</t>
        </is>
      </c>
      <c r="G35" s="5" t="inlineStr">
        <is>
          <t>toast「暂无平台模板」，不新增</t>
        </is>
      </c>
      <c r="H35" s="3" t="inlineStr">
        <is>
          <t>dev</t>
        </is>
      </c>
      <c r="I35" s="15" t="inlineStr">
        <is>
          <t>通过</t>
        </is>
      </c>
      <c r="J35" s="15" t="inlineStr">
        <is>
          <t>模板数 0 时点确认 → toast「暂无平台模板」，条数不变</t>
        </is>
      </c>
      <c r="K35" s="5" t="inlineStr">
        <is>
          <t>需构造空模板场景</t>
        </is>
      </c>
    </row>
    <row r="36">
      <c r="A36" s="3" t="inlineStr">
        <is>
          <t>G5</t>
        </is>
      </c>
      <c r="B36" s="3" t="inlineStr">
        <is>
          <t>G-一键预填</t>
        </is>
      </c>
      <c r="C36" s="4" t="inlineStr">
        <is>
          <t>P1</t>
        </is>
      </c>
      <c r="D36" s="3" t="inlineStr">
        <is>
          <t>预填进行中按钮禁用</t>
        </is>
      </c>
      <c r="E36" s="5" t="inlineStr">
        <is>
          <t>预填请求进行中</t>
        </is>
      </c>
      <c r="F36" s="5" t="inlineStr">
        <is>
          <t>再次点该按钮</t>
        </is>
      </c>
      <c r="G36" s="5" t="inlineStr">
        <is>
          <t>按钮带 disabled 类；不重复触发</t>
        </is>
      </c>
      <c r="H36" s="3" t="inlineStr">
        <is>
          <t>dev</t>
        </is>
      </c>
      <c r="I36" s="15" t="inlineStr">
        <is>
          <t>通过</t>
        </is>
      </c>
      <c r="J36" s="15" t="inlineStr">
        <is>
          <t>3s 轮询捕获到 `.btn-tpl disabled`（60 次采样），预填中确实禁用</t>
        </is>
      </c>
      <c r="K36" s="5" t="inlineStr">
        <is>
          <t>prefilling 守卫</t>
        </is>
      </c>
    </row>
    <row r="37">
      <c r="A37" s="3" t="inlineStr">
        <is>
          <t>G6</t>
        </is>
      </c>
      <c r="B37" s="3" t="inlineStr">
        <is>
          <t>G-一键预填</t>
        </is>
      </c>
      <c r="C37" s="4" t="inlineStr">
        <is>
          <t>P1</t>
        </is>
      </c>
      <c r="D37" s="3" t="inlineStr">
        <is>
          <t>单模板失败不影响其余</t>
        </is>
      </c>
      <c r="E37" s="5" t="inlineStr">
        <is>
          <t>构造某模板创建失败</t>
        </is>
      </c>
      <c r="F37" s="5" t="inlineStr">
        <is>
          <t>确认预填</t>
        </is>
      </c>
      <c r="G37" s="5" t="inlineStr">
        <is>
          <t>toast 显示成功数，失败项跳过，其余成功</t>
        </is>
      </c>
      <c r="H37" s="3" t="inlineStr">
        <is>
          <t>dev</t>
        </is>
      </c>
      <c r="I37" s="15" t="inlineStr">
        <is>
          <t>通过</t>
        </is>
      </c>
      <c r="J37" s="15" t="inlineStr">
        <is>
          <t>把 1 个模板价格设为 -1 → 预填增量 3（4 中 1 失败被跳过）</t>
        </is>
      </c>
      <c r="K37" s="5" t="inlineStr">
        <is>
          <t>per-item try/catch</t>
        </is>
      </c>
    </row>
    <row r="38">
      <c r="A38" s="3" t="inlineStr">
        <is>
          <t>H1</t>
        </is>
      </c>
      <c r="B38" s="3" t="inlineStr">
        <is>
          <t>H-权限与异常</t>
        </is>
      </c>
      <c r="C38" s="4" t="inlineStr">
        <is>
          <t>P0</t>
        </is>
      </c>
      <c r="D38" s="3" t="inlineStr">
        <is>
          <t>五接口对非摄影师均 403</t>
        </is>
      </c>
      <c r="E38" s="5" t="inlineStr">
        <is>
          <t>coser token</t>
        </is>
      </c>
      <c r="F38" s="5" t="inlineStr">
        <is>
          <t>POST/PUT/DELETE /photographers/services* 与 GET .../mine</t>
        </is>
      </c>
      <c r="G38" s="5" t="inlineStr">
        <is>
          <t>全部 403</t>
        </is>
      </c>
      <c r="H38" s="3" t="inlineStr">
        <is>
          <t>dev+prod</t>
        </is>
      </c>
      <c r="I38" s="15" t="inlineStr">
        <is>
          <t>通过</t>
        </is>
      </c>
      <c r="J38" s="15" t="inlineStr">
        <is>
          <t>GET mine / POST / PUT / DELETE 均 403；GET templates 200（公开）</t>
        </is>
      </c>
      <c r="K38" s="5" t="inlineStr">
        <is>
          <t>后端归属校验</t>
        </is>
      </c>
    </row>
    <row r="39">
      <c r="A39" s="3" t="inlineStr">
        <is>
          <t>H2</t>
        </is>
      </c>
      <c r="B39" s="3" t="inlineStr">
        <is>
          <t>H-权限与异常</t>
        </is>
      </c>
      <c r="C39" s="4" t="inlineStr">
        <is>
          <t>P1</t>
        </is>
      </c>
      <c r="D39" s="3" t="inlineStr">
        <is>
          <t>接口失败时列表静默为空</t>
        </is>
      </c>
      <c r="E39" s="5" t="inlineStr">
        <is>
          <t>拦截/中断接口</t>
        </is>
      </c>
      <c r="F39" s="5" t="inlineStr">
        <is>
          <t>打开列表页</t>
        </is>
      </c>
      <c r="G39" s="5" t="inlineStr">
        <is>
          <t>显示空态（无错误提示）——记观察项</t>
        </is>
      </c>
      <c r="H39" s="3" t="inlineStr">
        <is>
          <t>dev</t>
        </is>
      </c>
      <c r="I39" s="15" t="inlineStr">
        <is>
          <t>通过(观察)</t>
        </is>
      </c>
      <c r="J39" s="15" t="inlineStr">
        <is>
          <t>停掉 dev API → 页面显示空态「暂无套餐」，无任何错误提示（已知 minor R-类）</t>
        </is>
      </c>
      <c r="K39" s="5" t="inlineStr">
        <is>
          <t>已知 minor：应报错</t>
        </is>
      </c>
    </row>
    <row r="40">
      <c r="A40" s="3" t="inlineStr">
        <is>
          <t>H3</t>
        </is>
      </c>
      <c r="B40" s="3" t="inlineStr">
        <is>
          <t>H-权限与异常</t>
        </is>
      </c>
      <c r="C40" s="4" t="inlineStr">
        <is>
          <t>P1</t>
        </is>
      </c>
      <c r="D40" s="3" t="inlineStr">
        <is>
          <t>负数价格后端返回 400</t>
        </is>
      </c>
      <c r="E40" s="5" t="inlineStr">
        <is>
          <t>摄影师 token</t>
        </is>
      </c>
      <c r="F40" s="5" t="inlineStr">
        <is>
          <t>POST /photographers/services price=-1</t>
        </is>
      </c>
      <c r="G40" s="5" t="inlineStr">
        <is>
          <t>400 invalid price</t>
        </is>
      </c>
      <c r="H40" s="3" t="inlineStr">
        <is>
          <t>dev</t>
        </is>
      </c>
      <c r="I40" s="15" t="inlineStr">
        <is>
          <t>通过</t>
        </is>
      </c>
      <c r="J40" s="15" t="inlineStr">
        <is>
          <t>POST price=-1 → HTTP 400</t>
        </is>
      </c>
      <c r="K40" s="5" t="inlineStr">
        <is>
          <t>服务端校验</t>
        </is>
      </c>
    </row>
    <row r="41">
      <c r="A41" s="3" t="inlineStr">
        <is>
          <t>I1</t>
        </is>
      </c>
      <c r="B41" s="3" t="inlineStr">
        <is>
          <t>I-导航</t>
        </is>
      </c>
      <c r="C41" s="4" t="inlineStr">
        <is>
          <t>P1</t>
        </is>
      </c>
      <c r="D41" s="3" t="inlineStr">
        <is>
          <t>返回按钮可用</t>
        </is>
      </c>
      <c r="E41" s="5" t="inlineStr">
        <is>
          <t>列表页</t>
        </is>
      </c>
      <c r="F41" s="5" t="inlineStr">
        <is>
          <t>点左上「‹」</t>
        </is>
      </c>
      <c r="G41" s="5" t="inlineStr">
        <is>
          <t>返回上一页</t>
        </is>
      </c>
      <c r="H41" s="3" t="inlineStr">
        <is>
          <t>dev+prod</t>
        </is>
      </c>
      <c r="I41" s="15" t="inlineStr">
        <is>
          <t>通过</t>
        </is>
      </c>
      <c r="J41" s="15" t="inlineStr">
        <is>
          <t>activate → 点「套餐管理」→ #/pages/photographer/services；点「‹」→ 回到 activate</t>
        </is>
      </c>
      <c r="K41" s="5" t="inlineStr">
        <is>
          <t>goBack</t>
        </is>
      </c>
    </row>
    <row r="42">
      <c r="A42" s="3" t="inlineStr">
        <is>
          <t>I2</t>
        </is>
      </c>
      <c r="B42" s="3" t="inlineStr">
        <is>
          <t>I-导航</t>
        </is>
      </c>
      <c r="C42" s="4" t="inlineStr">
        <is>
          <t>P1</t>
        </is>
      </c>
      <c r="D42" s="3" t="inlineStr">
        <is>
          <t>返回列表可用</t>
        </is>
      </c>
      <c r="E42" s="5" t="inlineStr">
        <is>
          <t>表单页</t>
        </is>
      </c>
      <c r="F42" s="5" t="inlineStr">
        <is>
          <t>点「返回列表」</t>
        </is>
      </c>
      <c r="G42" s="5" t="inlineStr">
        <is>
          <t>回到 list 模式（不保存）</t>
        </is>
      </c>
      <c r="H42" s="3" t="inlineStr">
        <is>
          <t>dev</t>
        </is>
      </c>
      <c r="I42" s="15" t="inlineStr">
        <is>
          <t>通过</t>
        </is>
      </c>
      <c r="J42" s="15" t="inlineStr">
        <is>
          <t>表单页点「返回列表」→ 回到 list 模式</t>
        </is>
      </c>
      <c r="K42" s="5" t="inlineStr">
        <is>
          <t>cancelForm</t>
        </is>
      </c>
    </row>
  </sheetData>
  <autoFilter ref="A2:K42"/>
  <mergeCells count="1">
    <mergeCell ref="A1:K1"/>
  </mergeCells>
  <dataValidations count="1">
    <dataValidation sqref="I3:I42" showDropDown="0" showInputMessage="0" showErrorMessage="0" allowBlank="1" type="list">
      <formula1>"通过,失败,阻塞,未测"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7" t="inlineStr">
        <is>
          <t>模块</t>
        </is>
      </c>
      <c r="B1" s="7" t="inlineStr">
        <is>
          <t>用例数</t>
        </is>
      </c>
      <c r="C1" s="7" t="inlineStr">
        <is>
          <t>通过</t>
        </is>
      </c>
      <c r="D1" s="7" t="inlineStr">
        <is>
          <t>失败</t>
        </is>
      </c>
      <c r="E1" s="7" t="inlineStr">
        <is>
          <t>阻塞</t>
        </is>
      </c>
      <c r="F1" s="7" t="inlineStr">
        <is>
          <t>通过率</t>
        </is>
      </c>
    </row>
    <row r="2">
      <c r="A2" s="8" t="inlineStr">
        <is>
          <t>A-初始化/渲染</t>
        </is>
      </c>
      <c r="B2" s="9">
        <f>COUNTIF('用例明细'!$B$3:$B$42,$A2)</f>
        <v/>
      </c>
      <c r="C2" s="9">
        <f>COUNTIFS('用例明细'!$B$3:$B$42,$A2,'用例明细'!$I$3:$I$42,"通过")</f>
        <v/>
      </c>
      <c r="D2" s="9">
        <f>COUNTIFS('用例明细'!$B$3:$B$42,$A2,'用例明细'!$I$3:$I$42,"失败")</f>
        <v/>
      </c>
      <c r="E2" s="9">
        <f>COUNTIFS('用例明细'!$B$3:$B$42,$A2,'用例明细'!$I$3:$I$42,"阻塞")</f>
        <v/>
      </c>
      <c r="F2" s="10">
        <f>IFERROR(C2/B2,0)</f>
        <v/>
      </c>
    </row>
    <row r="3">
      <c r="A3" s="8" t="inlineStr">
        <is>
          <t>B-三态价格</t>
        </is>
      </c>
      <c r="B3" s="9">
        <f>COUNTIF('用例明细'!$B$3:$B$42,$A3)</f>
        <v/>
      </c>
      <c r="C3" s="9">
        <f>COUNTIFS('用例明细'!$B$3:$B$42,$A3,'用例明细'!$I$3:$I$42,"通过")</f>
        <v/>
      </c>
      <c r="D3" s="9">
        <f>COUNTIFS('用例明细'!$B$3:$B$42,$A3,'用例明细'!$I$3:$I$42,"失败")</f>
        <v/>
      </c>
      <c r="E3" s="9">
        <f>COUNTIFS('用例明细'!$B$3:$B$42,$A3,'用例明细'!$I$3:$I$42,"阻塞")</f>
        <v/>
      </c>
      <c r="F3" s="10">
        <f>IFERROR(C3/B3,0)</f>
        <v/>
      </c>
    </row>
    <row r="4">
      <c r="A4" s="8" t="inlineStr">
        <is>
          <t>C-时长格式化</t>
        </is>
      </c>
      <c r="B4" s="9">
        <f>COUNTIF('用例明细'!$B$3:$B$42,$A4)</f>
        <v/>
      </c>
      <c r="C4" s="9">
        <f>COUNTIFS('用例明细'!$B$3:$B$42,$A4,'用例明细'!$I$3:$I$42,"通过")</f>
        <v/>
      </c>
      <c r="D4" s="9">
        <f>COUNTIFS('用例明细'!$B$3:$B$42,$A4,'用例明细'!$I$3:$I$42,"失败")</f>
        <v/>
      </c>
      <c r="E4" s="9">
        <f>COUNTIFS('用例明细'!$B$3:$B$42,$A4,'用例明细'!$I$3:$I$42,"阻塞")</f>
        <v/>
      </c>
      <c r="F4" s="10">
        <f>IFERROR(C4/B4,0)</f>
        <v/>
      </c>
    </row>
    <row r="5">
      <c r="A5" s="8" t="inlineStr">
        <is>
          <t>D-新增套餐</t>
        </is>
      </c>
      <c r="B5" s="9">
        <f>COUNTIF('用例明细'!$B$3:$B$42,$A5)</f>
        <v/>
      </c>
      <c r="C5" s="9">
        <f>COUNTIFS('用例明细'!$B$3:$B$42,$A5,'用例明细'!$I$3:$I$42,"通过")</f>
        <v/>
      </c>
      <c r="D5" s="9">
        <f>COUNTIFS('用例明细'!$B$3:$B$42,$A5,'用例明细'!$I$3:$I$42,"失败")</f>
        <v/>
      </c>
      <c r="E5" s="9">
        <f>COUNTIFS('用例明细'!$B$3:$B$42,$A5,'用例明细'!$I$3:$I$42,"阻塞")</f>
        <v/>
      </c>
      <c r="F5" s="10">
        <f>IFERROR(C5/B5,0)</f>
        <v/>
      </c>
    </row>
    <row r="6">
      <c r="A6" s="8" t="inlineStr">
        <is>
          <t>E-编辑套餐</t>
        </is>
      </c>
      <c r="B6" s="9">
        <f>COUNTIF('用例明细'!$B$3:$B$42,$A6)</f>
        <v/>
      </c>
      <c r="C6" s="9">
        <f>COUNTIFS('用例明细'!$B$3:$B$42,$A6,'用例明细'!$I$3:$I$42,"通过")</f>
        <v/>
      </c>
      <c r="D6" s="9">
        <f>COUNTIFS('用例明细'!$B$3:$B$42,$A6,'用例明细'!$I$3:$I$42,"失败")</f>
        <v/>
      </c>
      <c r="E6" s="9">
        <f>COUNTIFS('用例明细'!$B$3:$B$42,$A6,'用例明细'!$I$3:$I$42,"阻塞")</f>
        <v/>
      </c>
      <c r="F6" s="10">
        <f>IFERROR(C6/B6,0)</f>
        <v/>
      </c>
    </row>
    <row r="7">
      <c r="A7" s="8" t="inlineStr">
        <is>
          <t>F-删除套餐</t>
        </is>
      </c>
      <c r="B7" s="9">
        <f>COUNTIF('用例明细'!$B$3:$B$42,$A7)</f>
        <v/>
      </c>
      <c r="C7" s="9">
        <f>COUNTIFS('用例明细'!$B$3:$B$42,$A7,'用例明细'!$I$3:$I$42,"通过")</f>
        <v/>
      </c>
      <c r="D7" s="9">
        <f>COUNTIFS('用例明细'!$B$3:$B$42,$A7,'用例明细'!$I$3:$I$42,"失败")</f>
        <v/>
      </c>
      <c r="E7" s="9">
        <f>COUNTIFS('用例明细'!$B$3:$B$42,$A7,'用例明细'!$I$3:$I$42,"阻塞")</f>
        <v/>
      </c>
      <c r="F7" s="10">
        <f>IFERROR(C7/B7,0)</f>
        <v/>
      </c>
    </row>
    <row r="8">
      <c r="A8" s="8" t="inlineStr">
        <is>
          <t>G-一键预填</t>
        </is>
      </c>
      <c r="B8" s="9">
        <f>COUNTIF('用例明细'!$B$3:$B$42,$A8)</f>
        <v/>
      </c>
      <c r="C8" s="9">
        <f>COUNTIFS('用例明细'!$B$3:$B$42,$A8,'用例明细'!$I$3:$I$42,"通过")</f>
        <v/>
      </c>
      <c r="D8" s="9">
        <f>COUNTIFS('用例明细'!$B$3:$B$42,$A8,'用例明细'!$I$3:$I$42,"失败")</f>
        <v/>
      </c>
      <c r="E8" s="9">
        <f>COUNTIFS('用例明细'!$B$3:$B$42,$A8,'用例明细'!$I$3:$I$42,"阻塞")</f>
        <v/>
      </c>
      <c r="F8" s="10">
        <f>IFERROR(C8/B8,0)</f>
        <v/>
      </c>
    </row>
    <row r="9">
      <c r="A9" s="8" t="inlineStr">
        <is>
          <t>H-权限与异常</t>
        </is>
      </c>
      <c r="B9" s="9">
        <f>COUNTIF('用例明细'!$B$3:$B$42,$A9)</f>
        <v/>
      </c>
      <c r="C9" s="9">
        <f>COUNTIFS('用例明细'!$B$3:$B$42,$A9,'用例明细'!$I$3:$I$42,"通过")</f>
        <v/>
      </c>
      <c r="D9" s="9">
        <f>COUNTIFS('用例明细'!$B$3:$B$42,$A9,'用例明细'!$I$3:$I$42,"失败")</f>
        <v/>
      </c>
      <c r="E9" s="9">
        <f>COUNTIFS('用例明细'!$B$3:$B$42,$A9,'用例明细'!$I$3:$I$42,"阻塞")</f>
        <v/>
      </c>
      <c r="F9" s="10">
        <f>IFERROR(C9/B9,0)</f>
        <v/>
      </c>
    </row>
    <row r="10">
      <c r="A10" s="8" t="inlineStr">
        <is>
          <t>I-导航</t>
        </is>
      </c>
      <c r="B10" s="9">
        <f>COUNTIF('用例明细'!$B$3:$B$42,$A10)</f>
        <v/>
      </c>
      <c r="C10" s="9">
        <f>COUNTIFS('用例明细'!$B$3:$B$42,$A10,'用例明细'!$I$3:$I$42,"通过")</f>
        <v/>
      </c>
      <c r="D10" s="9">
        <f>COUNTIFS('用例明细'!$B$3:$B$42,$A10,'用例明细'!$I$3:$I$42,"失败")</f>
        <v/>
      </c>
      <c r="E10" s="9">
        <f>COUNTIFS('用例明细'!$B$3:$B$42,$A10,'用例明细'!$I$3:$I$42,"阻塞")</f>
        <v/>
      </c>
      <c r="F10" s="10">
        <f>IFERROR(C10/B10,0)</f>
        <v/>
      </c>
    </row>
    <row r="11">
      <c r="A11" s="11" t="inlineStr">
        <is>
          <t>合计</t>
        </is>
      </c>
      <c r="B11" s="12">
        <f>SUM(B2:B10)</f>
        <v/>
      </c>
      <c r="C11" s="12">
        <f>SUM(C2:C10)</f>
        <v/>
      </c>
      <c r="D11" s="12">
        <f>SUM(D2:D10)</f>
        <v/>
      </c>
      <c r="E11" s="12">
        <f>SUM(E2:E10)</f>
        <v/>
      </c>
      <c r="F11" s="13">
        <f>IFERROR(C11/B11,0)</f>
        <v/>
      </c>
    </row>
    <row r="13">
      <c r="A13" s="14" t="inlineStr">
        <is>
          <t>说明：通过/失败/阻塞 由「用例明细」的 I 列自动统计（Excel 打开时自动计算）。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2026-09-21T02:50:12Z</dcterms:created>
  <dcterms:modified xmlns:dcterms="http://purl.org/dc/terms/" xmlns:xsi="http://www.w3.org/2001/XMLSchema-instance" xsi:type="dcterms:W3CDTF">2026-09-21T03:03:25Z</dcterms:modified>
</cp:coreProperties>
</file>