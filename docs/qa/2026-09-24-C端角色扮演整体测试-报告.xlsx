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用例结果" sheetId="1" state="visible" r:id="rId1"/>
    <sheet xmlns:r="http://schemas.openxmlformats.org/officeDocument/2006/relationships" name="缺陷清单" sheetId="2" state="visible" r:id="rId2"/>
    <sheet xmlns:r="http://schemas.openxmlformats.org/officeDocument/2006/relationships" name="汇总" sheetId="3" state="visible" r:id="rId3"/>
  </sheets>
  <definedNames>
    <definedName name="_xlnm._FilterDatabase" localSheetId="0" hidden="1">'用例结果'!$A$1:$G$28</definedName>
    <definedName name="_xlnm._FilterDatabase" localSheetId="1" hidden="1">'缺陷清单'!$A$1:$K$10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1" fillId="2" borderId="1" pivotButton="0" quotePrefix="0" xfId="0"/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8" customWidth="1" min="4" max="4"/>
    <col width="42" customWidth="1" min="5" max="5"/>
    <col width="8" customWidth="1" min="6" max="6"/>
    <col width="11" customWidth="1" min="7" max="7"/>
  </cols>
  <sheetData>
    <row r="1">
      <c r="A1" s="1" t="inlineStr">
        <is>
          <t>用例 ID</t>
        </is>
      </c>
      <c r="B1" s="1" t="inlineStr">
        <is>
          <t>角色</t>
        </is>
      </c>
      <c r="C1" s="1" t="inlineStr">
        <is>
          <t>场景</t>
        </is>
      </c>
      <c r="D1" s="1" t="inlineStr">
        <is>
          <t>期望结果</t>
        </is>
      </c>
      <c r="E1" s="1" t="inlineStr">
        <is>
          <t>实际结果</t>
        </is>
      </c>
      <c r="F1" s="1" t="inlineStr">
        <is>
          <t>结论</t>
        </is>
      </c>
      <c r="G1" s="1" t="inlineStr">
        <is>
          <t>关联缺陷</t>
        </is>
      </c>
    </row>
    <row r="2">
      <c r="A2" s="2" t="inlineStr">
        <is>
          <t>C-01</t>
        </is>
      </c>
      <c r="B2" s="2" t="inlineStr">
        <is>
          <t>coser</t>
        </is>
      </c>
      <c r="C2" s="2" t="inlineStr">
        <is>
          <t>首页加载（未登录）</t>
        </is>
      </c>
      <c r="D2" s="2" t="inlineStr">
        <is>
          <t>展示轮播/近期漫展/入口，可浏览</t>
        </is>
      </c>
      <c r="E2" s="2" t="inlineStr">
        <is>
          <t>正常渲染，7 大区块齐全</t>
        </is>
      </c>
      <c r="F2" s="3" t="inlineStr">
        <is>
          <t>通过</t>
        </is>
      </c>
      <c r="G2" s="2" t="inlineStr"/>
    </row>
    <row r="3">
      <c r="A3" s="2" t="inlineStr">
        <is>
          <t>C-02</t>
        </is>
      </c>
      <c r="B3" s="2" t="inlineStr">
        <is>
          <t>coser</t>
        </is>
      </c>
      <c r="C3" s="2" t="inlineStr">
        <is>
          <t>手机号+验证码登录</t>
        </is>
      </c>
      <c r="D3" s="2" t="inlineStr">
        <is>
          <t>填写后可登录并跳转</t>
        </is>
      </c>
      <c r="E3" s="2" t="inlineStr">
        <is>
          <t>正常；跳转个人中心，token 已存</t>
        </is>
      </c>
      <c r="F3" s="3" t="inlineStr">
        <is>
          <t>通过</t>
        </is>
      </c>
      <c r="G3" s="2" t="inlineStr"/>
    </row>
    <row r="4">
      <c r="A4" s="2" t="inlineStr">
        <is>
          <t>C-03</t>
        </is>
      </c>
      <c r="B4" s="2" t="inlineStr">
        <is>
          <t>coser</t>
        </is>
      </c>
      <c r="C4" s="2" t="inlineStr">
        <is>
          <t>未勾选《用户协议》就点登录</t>
        </is>
      </c>
      <c r="D4" s="2" t="inlineStr">
        <is>
          <t>应明确提示为何不能登录</t>
        </is>
      </c>
      <c r="E4" s="2" t="inlineStr">
        <is>
          <t>按钮禁用且点击静默无任何反馈</t>
        </is>
      </c>
      <c r="F4" s="4" t="inlineStr">
        <is>
          <t>失败</t>
        </is>
      </c>
      <c r="G4" s="2" t="inlineStr">
        <is>
          <t>B-05</t>
        </is>
      </c>
    </row>
    <row r="5">
      <c r="A5" s="2" t="inlineStr">
        <is>
          <t>C-04</t>
        </is>
      </c>
      <c r="B5" s="2" t="inlineStr">
        <is>
          <t>coser</t>
        </is>
      </c>
      <c r="C5" s="2" t="inlineStr">
        <is>
          <t>摄影师列表浏览</t>
        </is>
      </c>
      <c r="D5" s="2" t="inlineStr">
        <is>
          <t>应能看到价格区间（¥X 起/互勉/面议）</t>
        </is>
      </c>
      <c r="E5" s="2" t="inlineStr">
        <is>
          <t>完全不显示任何价格</t>
        </is>
      </c>
      <c r="F5" s="4" t="inlineStr">
        <is>
          <t>失败</t>
        </is>
      </c>
      <c r="G5" s="2" t="inlineStr">
        <is>
          <t>B-02</t>
        </is>
      </c>
    </row>
    <row r="6">
      <c r="A6" s="2" t="inlineStr">
        <is>
          <t>C-05</t>
        </is>
      </c>
      <c r="B6" s="2" t="inlineStr">
        <is>
          <t>coser</t>
        </is>
      </c>
      <c r="C6" s="2" t="inlineStr">
        <is>
          <t>摄影师详情：套餐三态渲染</t>
        </is>
      </c>
      <c r="D6" s="2" t="inlineStr">
        <is>
          <t>固定价显示 ¥N，互勉显示「互勉」，面议显示「面议」</t>
        </is>
      </c>
      <c r="E6" s="2" t="inlineStr">
        <is>
          <t>三态均正确</t>
        </is>
      </c>
      <c r="F6" s="3" t="inlineStr">
        <is>
          <t>通过</t>
        </is>
      </c>
      <c r="G6" s="2" t="inlineStr"/>
    </row>
    <row r="7">
      <c r="A7" s="2" t="inlineStr">
        <is>
          <t>C-06</t>
        </is>
      </c>
      <c r="B7" s="2" t="inlineStr">
        <is>
          <t>coser</t>
        </is>
      </c>
      <c r="C7" s="2" t="inlineStr">
        <is>
          <t>固定价下单</t>
        </is>
      </c>
      <c r="D7" s="2" t="inlineStr">
        <is>
          <t>创建订单，金额=套餐价</t>
        </is>
      </c>
      <c r="E7" s="2" t="inlineStr">
        <is>
          <t>订单 #58 待确认 ¥399</t>
        </is>
      </c>
      <c r="F7" s="3" t="inlineStr">
        <is>
          <t>通过</t>
        </is>
      </c>
      <c r="G7" s="2" t="inlineStr"/>
    </row>
    <row r="8">
      <c r="A8" s="2" t="inlineStr">
        <is>
          <t>C-07</t>
        </is>
      </c>
      <c r="B8" s="2" t="inlineStr">
        <is>
          <t>coser</t>
        </is>
      </c>
      <c r="C8" s="2" t="inlineStr">
        <is>
          <t>互勉套餐下单</t>
        </is>
      </c>
      <c r="D8" s="2" t="inlineStr">
        <is>
          <t>合计显示「互勉」而非 ¥0</t>
        </is>
      </c>
      <c r="E8" s="2" t="inlineStr">
        <is>
          <t>合计「互勉」，订单显示「互勉」</t>
        </is>
      </c>
      <c r="F8" s="3" t="inlineStr">
        <is>
          <t>通过</t>
        </is>
      </c>
      <c r="G8" s="2" t="inlineStr"/>
    </row>
    <row r="9">
      <c r="A9" s="2" t="inlineStr">
        <is>
          <t>C-08</t>
        </is>
      </c>
      <c r="B9" s="2" t="inlineStr">
        <is>
          <t>coser</t>
        </is>
      </c>
      <c r="C9" s="2" t="inlineStr">
        <is>
          <t>面议套餐下单</t>
        </is>
      </c>
      <c r="D9" s="2" t="inlineStr">
        <is>
          <t>合计显示「面议」并提示等待报价</t>
        </is>
      </c>
      <c r="E9" s="2" t="inlineStr">
        <is>
          <t>合计「面议」+「提交后等待摄影师报价」</t>
        </is>
      </c>
      <c r="F9" s="3" t="inlineStr">
        <is>
          <t>通过</t>
        </is>
      </c>
      <c r="G9" s="2" t="inlineStr"/>
    </row>
    <row r="10">
      <c r="A10" s="2" t="inlineStr">
        <is>
          <t>C-09</t>
        </is>
      </c>
      <c r="B10" s="2" t="inlineStr">
        <is>
          <t>coser</t>
        </is>
      </c>
      <c r="C10" s="2" t="inlineStr">
        <is>
          <t>同一摄影师同一时段重复下单</t>
        </is>
      </c>
      <c r="D10" s="2" t="inlineStr">
        <is>
          <t>应被拒绝</t>
        </is>
      </c>
      <c r="E10" s="2" t="inlineStr">
        <is>
          <t>该时段变为禁用（disabled），无法选择</t>
        </is>
      </c>
      <c r="F10" s="3" t="inlineStr">
        <is>
          <t>通过</t>
        </is>
      </c>
      <c r="G10" s="2" t="inlineStr"/>
    </row>
    <row r="11">
      <c r="A11" s="2" t="inlineStr">
        <is>
          <t>C-10</t>
        </is>
      </c>
      <c r="B11" s="2" t="inlineStr">
        <is>
          <t>coser</t>
        </is>
      </c>
      <c r="C11" s="2" t="inlineStr">
        <is>
          <t>订单列表价格状态</t>
        </is>
      </c>
      <c r="D11" s="2" t="inlineStr">
        <is>
          <t>面议单显示「待报价」而非 ¥0（设计 §4.1）</t>
        </is>
      </c>
      <c r="E11" s="2" t="inlineStr">
        <is>
          <t>显示「待报价」</t>
        </is>
      </c>
      <c r="F11" s="3" t="inlineStr">
        <is>
          <t>通过</t>
        </is>
      </c>
      <c r="G11" s="2" t="inlineStr"/>
    </row>
    <row r="12">
      <c r="A12" s="2" t="inlineStr">
        <is>
          <t>C-11</t>
        </is>
      </c>
      <c r="B12" s="2" t="inlineStr">
        <is>
          <t>coser</t>
        </is>
      </c>
      <c r="C12" s="2" t="inlineStr">
        <is>
          <t>订单详情：拍摄时长</t>
        </is>
      </c>
      <c r="D12" s="2" t="inlineStr">
        <is>
          <t>显示套餐时长（如 120 分钟）</t>
        </is>
      </c>
      <c r="E12" s="2" t="inlineStr">
        <is>
          <t>恒显示「0分钟」</t>
        </is>
      </c>
      <c r="F12" s="4" t="inlineStr">
        <is>
          <t>失败</t>
        </is>
      </c>
      <c r="G12" s="2" t="inlineStr">
        <is>
          <t>B-01</t>
        </is>
      </c>
    </row>
    <row r="13">
      <c r="A13" s="2" t="inlineStr">
        <is>
          <t>C-12</t>
        </is>
      </c>
      <c r="B13" s="2" t="inlineStr">
        <is>
          <t>coser</t>
        </is>
      </c>
      <c r="C13" s="2" t="inlineStr">
        <is>
          <t>订单详情：历史单价格快照</t>
        </is>
      </c>
      <c r="D13" s="2" t="inlineStr">
        <is>
          <t>显示下单时价格，不受后续改价影响</t>
        </is>
      </c>
      <c r="E13" s="2" t="inlineStr">
        <is>
          <t>订单 #3 显示 ¥999（套餐现价 ¥1299）</t>
        </is>
      </c>
      <c r="F13" s="3" t="inlineStr">
        <is>
          <t>通过</t>
        </is>
      </c>
      <c r="G13" s="2" t="inlineStr"/>
    </row>
    <row r="14">
      <c r="A14" s="2" t="inlineStr">
        <is>
          <t>C-13</t>
        </is>
      </c>
      <c r="B14" s="2" t="inlineStr">
        <is>
          <t>coser</t>
        </is>
      </c>
      <c r="C14" s="2" t="inlineStr">
        <is>
          <t>接受报价</t>
        </is>
      </c>
      <c r="D14" s="2" t="inlineStr">
        <is>
          <t>确认弹窗→接受后订单转「待完成」且总计=报价</t>
        </is>
      </c>
      <c r="E14" s="2" t="inlineStr">
        <is>
          <t>订单 #59 转待完成，¥888</t>
        </is>
      </c>
      <c r="F14" s="3" t="inlineStr">
        <is>
          <t>通过</t>
        </is>
      </c>
      <c r="G14" s="2" t="inlineStr"/>
    </row>
    <row r="15">
      <c r="A15" s="2" t="inlineStr">
        <is>
          <t>C-14</t>
        </is>
      </c>
      <c r="B15" s="2" t="inlineStr">
        <is>
          <t>coser</t>
        </is>
      </c>
      <c r="C15" s="2" t="inlineStr">
        <is>
          <t>个人中心</t>
        </is>
      </c>
      <c r="D15" s="2" t="inlineStr">
        <is>
          <t>展示昵称/角色标签/菜单</t>
        </is>
      </c>
      <c r="E15" s="2" t="inlineStr">
        <is>
          <t>正常</t>
        </is>
      </c>
      <c r="F15" s="3" t="inlineStr">
        <is>
          <t>通过</t>
        </is>
      </c>
      <c r="G15" s="2" t="inlineStr"/>
    </row>
    <row r="16">
      <c r="A16" s="2" t="inlineStr">
        <is>
          <t>P-01</t>
        </is>
      </c>
      <c r="B16" s="2" t="inlineStr">
        <is>
          <t>摄影师</t>
        </is>
      </c>
      <c r="C16" s="2" t="inlineStr">
        <is>
          <t>UI 登录摄影师账号</t>
        </is>
      </c>
      <c r="D16" s="2" t="inlineStr">
        <is>
          <t>可用种子摄影师账号登录</t>
        </is>
      </c>
      <c r="E16" s="2" t="inlineStr">
        <is>
          <t>手机号正则挡住 10000000001，无法登录</t>
        </is>
      </c>
      <c r="F16" s="4" t="inlineStr">
        <is>
          <t>失败</t>
        </is>
      </c>
      <c r="G16" s="2" t="inlineStr">
        <is>
          <t>B-07</t>
        </is>
      </c>
    </row>
    <row r="17">
      <c r="A17" s="2" t="inlineStr">
        <is>
          <t>P-02</t>
        </is>
      </c>
      <c r="B17" s="2" t="inlineStr">
        <is>
          <t>摄影师</t>
        </is>
      </c>
      <c r="C17" s="2" t="inlineStr">
        <is>
          <t>我的套餐列表</t>
        </is>
      </c>
      <c r="D17" s="2" t="inlineStr">
        <is>
          <t>展示套餐+上架状态+操作</t>
        </is>
      </c>
      <c r="E17" s="2" t="inlineStr">
        <is>
          <t>6 个套餐，状态标签正确</t>
        </is>
      </c>
      <c r="F17" s="3" t="inlineStr">
        <is>
          <t>通过</t>
        </is>
      </c>
      <c r="G17" s="2" t="inlineStr"/>
    </row>
    <row r="18">
      <c r="A18" s="2" t="inlineStr">
        <is>
          <t>P-03</t>
        </is>
      </c>
      <c r="B18" s="2" t="inlineStr">
        <is>
          <t>摄影师</t>
        </is>
      </c>
      <c r="C18" s="2" t="inlineStr">
        <is>
          <t>新增套餐：固定价</t>
        </is>
      </c>
      <c r="D18" s="2" t="inlineStr">
        <is>
          <t>创建成功</t>
        </is>
      </c>
      <c r="E18" s="2" t="inlineStr">
        <is>
          <t>成功</t>
        </is>
      </c>
      <c r="F18" s="3" t="inlineStr">
        <is>
          <t>通过</t>
        </is>
      </c>
      <c r="G18" s="2" t="inlineStr"/>
    </row>
    <row r="19">
      <c r="A19" s="2" t="inlineStr">
        <is>
          <t>P-04</t>
        </is>
      </c>
      <c r="B19" s="2" t="inlineStr">
        <is>
          <t>摄影师</t>
        </is>
      </c>
      <c r="C19" s="2" t="inlineStr">
        <is>
          <t>新增套餐：价格留空=面议</t>
        </is>
      </c>
      <c r="D19" s="2" t="inlineStr">
        <is>
          <t>创建为面议</t>
        </is>
      </c>
      <c r="E19" s="2" t="inlineStr">
        <is>
          <t>成功，标签「面议」</t>
        </is>
      </c>
      <c r="F19" s="3" t="inlineStr">
        <is>
          <t>通过</t>
        </is>
      </c>
      <c r="G19" s="2" t="inlineStr"/>
    </row>
    <row r="20">
      <c r="A20" s="2" t="inlineStr">
        <is>
          <t>P-05</t>
        </is>
      </c>
      <c r="B20" s="2" t="inlineStr">
        <is>
          <t>摄影师</t>
        </is>
      </c>
      <c r="C20" s="2" t="inlineStr">
        <is>
          <t>新增套餐：价格填 0=互勉</t>
        </is>
      </c>
      <c r="D20" s="2" t="inlineStr">
        <is>
          <t>创建为互勉</t>
        </is>
      </c>
      <c r="E20" s="2" t="inlineStr">
        <is>
          <t>成功，标签「互勉」</t>
        </is>
      </c>
      <c r="F20" s="3" t="inlineStr">
        <is>
          <t>通过</t>
        </is>
      </c>
      <c r="G20" s="2" t="inlineStr"/>
    </row>
    <row r="21">
      <c r="A21" s="2" t="inlineStr">
        <is>
          <t>P-06</t>
        </is>
      </c>
      <c r="B21" s="2" t="inlineStr">
        <is>
          <t>摄影师</t>
        </is>
      </c>
      <c r="C21" s="2" t="inlineStr">
        <is>
          <t>新增套餐：价格填负数</t>
        </is>
      </c>
      <c r="D21" s="2" t="inlineStr">
        <is>
          <t>应被拒绝并提示</t>
        </is>
      </c>
      <c r="E21" s="2" t="inlineStr">
        <is>
          <t>内联报错「价格需为不小于 0 的数字」，未创建</t>
        </is>
      </c>
      <c r="F21" s="3" t="inlineStr">
        <is>
          <t>通过</t>
        </is>
      </c>
      <c r="G21" s="2" t="inlineStr"/>
    </row>
    <row r="22">
      <c r="A22" s="2" t="inlineStr">
        <is>
          <t>P-07</t>
        </is>
      </c>
      <c r="B22" s="2" t="inlineStr">
        <is>
          <t>摄影师</t>
        </is>
      </c>
      <c r="C22" s="2" t="inlineStr">
        <is>
          <t>新增套餐：时长留空</t>
        </is>
      </c>
      <c r="D22" s="2" t="inlineStr">
        <is>
          <t>应提示时长必填/为 0 需确认</t>
        </is>
      </c>
      <c r="E22" s="2" t="inlineStr">
        <is>
          <t>静默创建时长为 0 的套餐</t>
        </is>
      </c>
      <c r="F22" s="4" t="inlineStr">
        <is>
          <t>失败</t>
        </is>
      </c>
      <c r="G22" s="2" t="inlineStr">
        <is>
          <t>B-03</t>
        </is>
      </c>
    </row>
    <row r="23">
      <c r="A23" s="2" t="inlineStr">
        <is>
          <t>P-08</t>
        </is>
      </c>
      <c r="B23" s="2" t="inlineStr">
        <is>
          <t>摄影师</t>
        </is>
      </c>
      <c r="C23" s="2" t="inlineStr">
        <is>
          <t>下架套餐</t>
        </is>
      </c>
      <c r="D23" s="2" t="inlineStr">
        <is>
          <t>标签变下架，公开页同步隐藏</t>
        </is>
      </c>
      <c r="E23" s="2" t="inlineStr">
        <is>
          <t>标签翻转，公开详情由 4 个变 3 个</t>
        </is>
      </c>
      <c r="F23" s="3" t="inlineStr">
        <is>
          <t>通过</t>
        </is>
      </c>
      <c r="G23" s="2" t="inlineStr"/>
    </row>
    <row r="24">
      <c r="A24" s="2" t="inlineStr">
        <is>
          <t>P-09</t>
        </is>
      </c>
      <c r="B24" s="2" t="inlineStr">
        <is>
          <t>摄影师</t>
        </is>
      </c>
      <c r="C24" s="2" t="inlineStr">
        <is>
          <t>上下架开关（本轮修复项）</t>
        </is>
      </c>
      <c r="D24" s="2" t="inlineStr">
        <is>
          <t>可切换且不再被编辑重置</t>
        </is>
      </c>
      <c r="E24" s="2" t="inlineStr">
        <is>
          <t>切换有效，编辑后保持</t>
        </is>
      </c>
      <c r="F24" s="3" t="inlineStr">
        <is>
          <t>通过</t>
        </is>
      </c>
      <c r="G24" s="2" t="inlineStr"/>
    </row>
    <row r="25">
      <c r="A25" s="2" t="inlineStr">
        <is>
          <t>P-10</t>
        </is>
      </c>
      <c r="B25" s="2" t="inlineStr">
        <is>
          <t>摄影师</t>
        </is>
      </c>
      <c r="C25" s="2" t="inlineStr">
        <is>
          <t>接单管理列表</t>
        </is>
      </c>
      <c r="D25" s="2" t="inlineStr">
        <is>
          <t>展示订单+操作按钮</t>
        </is>
      </c>
      <c r="E25" s="2" t="inlineStr">
        <is>
          <t>面议单有「报价/拒绝」，固定价有「确认接单/拒绝」</t>
        </is>
      </c>
      <c r="F25" s="3" t="inlineStr">
        <is>
          <t>通过</t>
        </is>
      </c>
      <c r="G25" s="2" t="inlineStr"/>
    </row>
    <row r="26">
      <c r="A26" s="2" t="inlineStr">
        <is>
          <t>P-11</t>
        </is>
      </c>
      <c r="B26" s="2" t="inlineStr">
        <is>
          <t>摄影师</t>
        </is>
      </c>
      <c r="C26" s="2" t="inlineStr">
        <is>
          <t>面议报价</t>
        </is>
      </c>
      <c r="D26" s="2" t="inlineStr">
        <is>
          <t>弹窗输入金额→提交</t>
        </is>
      </c>
      <c r="E26" s="2" t="inlineStr">
        <is>
          <t>报价成功，订单转「已报价 ¥888」</t>
        </is>
      </c>
      <c r="F26" s="3" t="inlineStr">
        <is>
          <t>通过</t>
        </is>
      </c>
      <c r="G26" s="2" t="inlineStr"/>
    </row>
    <row r="27">
      <c r="A27" s="2" t="inlineStr">
        <is>
          <t>P-12</t>
        </is>
      </c>
      <c r="B27" s="2" t="inlineStr">
        <is>
          <t>摄影师</t>
        </is>
      </c>
      <c r="C27" s="2" t="inlineStr">
        <is>
          <t>接单管理：客户手机号可见性</t>
        </is>
      </c>
      <c r="D27" s="2" t="inlineStr">
        <is>
          <t>建议仅在确认接单后或经站内聊天联系</t>
        </is>
      </c>
      <c r="E27" s="2" t="inlineStr">
        <is>
          <t>未接单即可见完整手机号</t>
        </is>
      </c>
      <c r="F27" s="4" t="inlineStr">
        <is>
          <t>失败</t>
        </is>
      </c>
      <c r="G27" s="2" t="inlineStr">
        <is>
          <t>B-06</t>
        </is>
      </c>
    </row>
    <row r="28">
      <c r="A28" s="2" t="inlineStr">
        <is>
          <t>P-13</t>
        </is>
      </c>
      <c r="B28" s="2" t="inlineStr">
        <is>
          <t>摄影师</t>
        </is>
      </c>
      <c r="C28" s="2" t="inlineStr">
        <is>
          <t>0 分钟套餐在预约页的展示</t>
        </is>
      </c>
      <c r="D28" s="2" t="inlineStr">
        <is>
          <t>应与管理页口径一致（未填写）</t>
        </is>
      </c>
      <c r="E28" s="2" t="inlineStr">
        <is>
          <t>预约页显示「0分钟」</t>
        </is>
      </c>
      <c r="F28" s="4" t="inlineStr">
        <is>
          <t>失败</t>
        </is>
      </c>
      <c r="G28" s="2" t="inlineStr">
        <is>
          <t>B-04</t>
        </is>
      </c>
    </row>
  </sheetData>
  <autoFilter ref="A1:G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7" customWidth="1" min="3" max="3"/>
    <col width="20" customWidth="1" min="4" max="4"/>
    <col width="34" customWidth="1" min="5" max="5"/>
    <col width="34" customWidth="1" min="6" max="6"/>
    <col width="34" customWidth="1" min="7" max="7"/>
    <col width="60" customWidth="1" min="8" max="8"/>
    <col width="40" customWidth="1" min="9" max="9"/>
    <col width="40" customWidth="1" min="10" max="10"/>
    <col width="34" customWidth="1" min="11" max="11"/>
  </cols>
  <sheetData>
    <row r="1">
      <c r="A1" s="1" t="inlineStr">
        <is>
          <t>缺陷 ID</t>
        </is>
      </c>
      <c r="B1" s="1" t="inlineStr">
        <is>
          <t>标题</t>
        </is>
      </c>
      <c r="C1" s="1" t="inlineStr">
        <is>
          <t>严重度</t>
        </is>
      </c>
      <c r="D1" s="1" t="inlineStr">
        <is>
          <t>模块</t>
        </is>
      </c>
      <c r="E1" s="1" t="inlineStr">
        <is>
          <t>复现步骤</t>
        </is>
      </c>
      <c r="F1" s="1" t="inlineStr">
        <is>
          <t>期望</t>
        </is>
      </c>
      <c r="G1" s="1" t="inlineStr">
        <is>
          <t>实际</t>
        </is>
      </c>
      <c r="H1" s="1" t="inlineStr">
        <is>
          <t>证据 / 根因</t>
        </is>
      </c>
      <c r="I1" s="1" t="inlineStr">
        <is>
          <t>代码位置</t>
        </is>
      </c>
      <c r="J1" s="1" t="inlineStr">
        <is>
          <t>修复建议</t>
        </is>
      </c>
      <c r="K1" s="1" t="inlineStr">
        <is>
          <t>处置状态</t>
        </is>
      </c>
    </row>
    <row r="2">
      <c r="A2" s="2" t="inlineStr">
        <is>
          <t>B-01</t>
        </is>
      </c>
      <c r="B2" s="2" t="inlineStr">
        <is>
          <t>订单详情/列表「拍摄时长」恒显示 0 分钟</t>
        </is>
      </c>
      <c r="C2" s="5" t="inlineStr">
        <is>
          <t>高</t>
        </is>
      </c>
      <c r="D2" s="2" t="inlineStr">
        <is>
          <t>订单 / DTO</t>
        </is>
      </c>
      <c r="E2" s="2" t="inlineStr">
        <is>
          <t>任意 coser 或摄影师查看订单详情（示例：订单 #59 / #58）</t>
        </is>
      </c>
      <c r="F2" s="2" t="inlineStr">
        <is>
          <t>显示该套餐的时长快照（基础套餐 120 分钟）</t>
        </is>
      </c>
      <c r="G2" s="2" t="inlineStr">
        <is>
          <t>恒显示「拍摄时长 0分钟」</t>
        </is>
      </c>
      <c r="H2" s="2" t="inlineStr">
        <is>
          <t>DB `bookings.service_duration` = 120（快照已正确写入）；但订单接口返回字段中**没有**任何 duration 字段：GET /api/v1/bookings/5 的订单对象字段为 coserId/createdAt/date/id/photographerAvatar/photographerId/photographerName/photographerUserId/priceMode/priceStatus/quotePrice/remarks/serviceId/serviceName/status/time/totalPrice。前端 `order.duration || 0` 于是恒为 0。</t>
        </is>
      </c>
      <c r="I2" s="2" t="inlineStr">
        <is>
          <t>server/internal/service/booking_service.go（`BookingItem` 缺 ServiceDuration）＋ src/pages/order/detail.vue:41</t>
        </is>
      </c>
      <c r="J2" s="2" t="inlineStr">
        <is>
          <t>在订单读路径的 SELECT/Scan 与 `BookingItem` 补 `serviceDuration`，前端改用该字段</t>
        </is>
      </c>
      <c r="K2" s="2" t="inlineStr">
        <is>
          <t>已修复（63f81c3）</t>
        </is>
      </c>
    </row>
    <row r="3">
      <c r="A3" s="2" t="inlineStr">
        <is>
          <t>B-02</t>
        </is>
      </c>
      <c r="B3" s="2" t="inlineStr">
        <is>
          <t>摄影师列表不显示任何价格</t>
        </is>
      </c>
      <c r="C3" s="6" t="inlineStr">
        <is>
          <t>中</t>
        </is>
      </c>
      <c r="D3" s="2" t="inlineStr">
        <is>
          <t>C 端 · 摄影师列表</t>
        </is>
      </c>
      <c r="E3" s="2" t="inlineStr">
        <is>
          <t>打开 首页 → 摄影师 列表</t>
        </is>
      </c>
      <c r="F3" s="2" t="inlineStr">
        <is>
          <t>按 spec §7 显示 `¥&lt;最低价&gt; 起` / `互勉` / `面议` / `暂未设置`</t>
        </is>
      </c>
      <c r="G3" s="2" t="inlineStr">
        <is>
          <t>卡片只有昵称/评分/简介/标签/城市/接单数，无价格</t>
        </is>
      </c>
      <c r="H3" s="2" t="inlineStr">
        <is>
          <t>`src/pages/photographer/list.vue` 内价格渲染为 0 处（grep 无 ¥/起/互勉/面议）。设计文档 §7 把该项列为「新增」而非改造，实现时遗漏。</t>
        </is>
      </c>
      <c r="I3" s="2" t="inlineStr">
        <is>
          <t>src/pages/photographer/list.vue</t>
        </is>
      </c>
      <c r="J3" s="2" t="inlineStr">
        <is>
          <t>补列表页价格聚合（建议抽 `utils/price.ts` 共享渲染，避免列表/详情/订单三处口径漂移）</t>
        </is>
      </c>
      <c r="K3" s="2" t="inlineStr">
        <is>
          <t>已修复（dff4790 + f5f9309）— 接口批量返回价格汇总 + 卡片显示「¥最低价 起 / 互勉 / 面议 / 暂未设置」</t>
        </is>
      </c>
    </row>
    <row r="4">
      <c r="A4" s="2" t="inlineStr">
        <is>
          <t>B-03</t>
        </is>
      </c>
      <c r="B4" s="2" t="inlineStr">
        <is>
          <t>新增套餐时「时长」留空即静默存 0，无校验</t>
        </is>
      </c>
      <c r="C4" s="6" t="inlineStr">
        <is>
          <t>中</t>
        </is>
      </c>
      <c r="D4" s="2" t="inlineStr">
        <is>
          <t>摄影师 · 我的套餐</t>
        </is>
      </c>
      <c r="E4" s="2" t="inlineStr">
        <is>
          <t>我的套餐 → ＋新增套餐 → 只填名称、时长清空 → 创建套餐</t>
        </is>
      </c>
      <c r="F4" s="2" t="inlineStr">
        <is>
          <t>应提示时长必填（或至少确认「0 分钟」的含义）</t>
        </is>
      </c>
      <c r="G4" s="2" t="inlineStr">
        <is>
          <t>套餐创建成功，管理页时长显示「未填写」</t>
        </is>
      </c>
      <c r="H4" s="2" t="inlineStr">
        <is>
          <t>`normalizedDuration()`（src/pages/photographer/services.vue:228-232）对非法/空输入一律返回 0，既不报错也不提示；后端 `Duration` 为 int32，0 合法，于是入库为 0。</t>
        </is>
      </c>
      <c r="I4" s="2" t="inlineStr">
        <is>
          <t>src/pages/photographer/services.vue:228-232</t>
        </is>
      </c>
      <c r="J4" s="2" t="inlineStr">
        <is>
          <t>时长加 `&gt;0` 校验并给出单位提示（placeholder 写「例如：60（分钟）」）</t>
        </is>
      </c>
      <c r="K4" s="2" t="inlineStr">
        <is>
          <t>已修复（63f81c3）</t>
        </is>
      </c>
    </row>
    <row r="5">
      <c r="A5" s="2" t="inlineStr">
        <is>
          <t>B-04</t>
        </is>
      </c>
      <c r="B5" s="2" t="inlineStr">
        <is>
          <t>同一份数据在管理页与预约页口径不一致</t>
        </is>
      </c>
      <c r="C5" s="7" t="inlineStr">
        <is>
          <t>低</t>
        </is>
      </c>
      <c r="D5" s="2" t="inlineStr">
        <is>
          <t>套餐展示</t>
        </is>
      </c>
      <c r="E5" s="2" t="inlineStr">
        <is>
          <t>用 B-03 创建的 0 分钟套餐，分别打开 我的套餐 与 预约页</t>
        </is>
      </c>
      <c r="F5" s="2" t="inlineStr">
        <is>
          <t>两处对同一字段的缺失值应给出一致文案</t>
        </is>
      </c>
      <c r="G5" s="2" t="inlineStr">
        <is>
          <t>管理页显示「时长 未填写」；预约页显示「0分钟」</t>
        </is>
      </c>
      <c r="H5" s="2" t="inlineStr">
        <is>
          <t>两页各自实现格式化（services.vue `formatDuration` 把 &lt;=0 显示「未填写」；booking 页直接拼接数字）。</t>
        </is>
      </c>
      <c r="I5" s="2" t="inlineStr">
        <is>
          <t>src/pages/photographer/services.vue（formatDuration） vs src/pages/booking/index.vue</t>
        </is>
      </c>
      <c r="J5" s="2" t="inlineStr">
        <is>
          <t>把时长格式化收敛到一个共享 util</t>
        </is>
      </c>
      <c r="K5" s="2" t="inlineStr">
        <is>
          <t>已修复（63f81c3）</t>
        </is>
      </c>
    </row>
    <row r="6">
      <c r="A6" s="2" t="inlineStr">
        <is>
          <t>B-05</t>
        </is>
      </c>
      <c r="B6" s="2" t="inlineStr">
        <is>
          <t>登录按钮禁用时点击无任何反馈</t>
        </is>
      </c>
      <c r="C6" s="6" t="inlineStr">
        <is>
          <t>中</t>
        </is>
      </c>
      <c r="D6" s="2" t="inlineStr">
        <is>
          <t>C 端 · 登录</t>
        </is>
      </c>
      <c r="E6" s="2" t="inlineStr">
        <is>
          <t>登录页填手机号+验证码（不勾选《用户协议》）→ 点「登 录」</t>
        </is>
      </c>
      <c r="F6" s="2" t="inlineStr">
        <is>
          <t>应提示「请先阅读并同意用户协议」</t>
        </is>
      </c>
      <c r="G6" s="2" t="inlineStr">
        <is>
          <t>无任何反应（无 toast、无抖动、无文案变化）</t>
        </is>
      </c>
      <c r="H6" s="2" t="inlineStr">
        <is>
          <t>`canLogin`（src/pages/login/index.vue:103）要求 `agreed` 为真；`handleLogin` 首行 `if (!canLogin.value) return`（:129）静默返回。协议勾选框视觉很小，用户难以自行归因。</t>
        </is>
      </c>
      <c r="I6" s="2" t="inlineStr">
        <is>
          <t>src/pages/login/index.vue:103,129</t>
        </is>
      </c>
      <c r="J6" s="2" t="inlineStr">
        <is>
          <t>点击禁用态按钮时弹出提示（或把按钮改为可点、由点击触发校验提示）</t>
        </is>
      </c>
      <c r="K6" s="2" t="inlineStr">
        <is>
          <t>已修复（63f81c3）</t>
        </is>
      </c>
    </row>
    <row r="7">
      <c r="A7" s="2" t="inlineStr">
        <is>
          <t>B-06</t>
        </is>
      </c>
      <c r="B7" s="2" t="inlineStr">
        <is>
          <t>接单管理页在未接单前即展示客户完整手机号</t>
        </is>
      </c>
      <c r="C7" s="6" t="inlineStr">
        <is>
          <t>中</t>
        </is>
      </c>
      <c r="D7" s="2" t="inlineStr">
        <is>
          <t>隐私 / 摄影师 · 接单管理</t>
        </is>
      </c>
      <c r="E7" s="2" t="inlineStr">
        <is>
          <t>以摄影师身份打开 接单管理，查看任何一条「待确认」订单</t>
        </is>
      </c>
      <c r="F7" s="2" t="inlineStr">
        <is>
          <t>建议确认接单后再展示，或仅提供站内聊天入口</t>
        </is>
      </c>
      <c r="G7" s="2" t="inlineStr">
        <is>
          <t>列表直接显示「电话：13800138000」</t>
        </is>
      </c>
      <c r="H7" s="2" t="inlineStr">
        <is>
          <t>摄影师侧订单接口返回 `coserPhone` 并在列表渲染。演示环境可接受，但真实上线属于个人信息最小必要原则问题。</t>
        </is>
      </c>
      <c r="I7" s="2" t="inlineStr">
        <is>
          <t>server/internal/repository/bookings.sql.go（getBookingsByPhotographer 的 coserPhone）＋ src/pages/photographer/orders.vue</t>
        </is>
      </c>
      <c r="J7" s="2" t="inlineStr">
        <is>
          <t>确认接单后再返回手机号，或改为「联系客户」走站内聊天</t>
        </is>
      </c>
      <c r="K7" s="2" t="inlineStr">
        <is>
          <t>已修复（ae6339e）— 手机号在 SQL 层按状态遮罩，确认接单后才返回；前端未接单显示「确认接单后可见」</t>
        </is>
      </c>
    </row>
    <row r="8">
      <c r="A8" s="2" t="inlineStr">
        <is>
          <t>B-07</t>
        </is>
      </c>
      <c r="B8" s="2" t="inlineStr">
        <is>
          <t>种子摄影师账号无法通过 UI 登录</t>
        </is>
      </c>
      <c r="C8" s="7" t="inlineStr">
        <is>
          <t>低</t>
        </is>
      </c>
      <c r="D8" s="2" t="inlineStr">
        <is>
          <t>C 端 · 登录（已知问题）</t>
        </is>
      </c>
      <c r="E8" s="2" t="inlineStr">
        <is>
          <t>登录页输入 10000000001 + 任意验证码</t>
        </is>
      </c>
      <c r="F8" s="2" t="inlineStr">
        <is>
          <t>应可登录（该账号是演示用摄影师）</t>
        </is>
      </c>
      <c r="G8" s="2" t="inlineStr">
        <is>
          <t>手机号正则不匹配，无法提交</t>
        </is>
      </c>
      <c r="H8" s="2" t="inlineStr">
        <is>
          <t>UI 校验 `^1[3-9]\d{9}$` 挡住 `10000000001`（AGENTS.md 已记录为既有问题）。后果：摄影师侧流程只能用 token 注入验证，演示与测试不便。</t>
        </is>
      </c>
      <c r="I8" s="2" t="inlineStr">
        <is>
          <t>src/pages/login/index.vue（手机号校验）</t>
        </is>
      </c>
      <c r="J8" s="2" t="inlineStr">
        <is>
          <t>放宽为 `^\d{11}$`，或给种子摄影师换用 13x 号段</t>
        </is>
      </c>
      <c r="K8" s="2" t="inlineStr">
        <is>
          <t>误报，已更正 — 实测 10000000001 可正常 UI 登录（canSend 已含 ^100\d{8}$）</t>
        </is>
      </c>
    </row>
    <row r="9">
      <c r="A9" s="2" t="inlineStr">
        <is>
          <t>B-08</t>
        </is>
      </c>
      <c r="B9" s="2" t="inlineStr">
        <is>
          <t>只挂面议套餐的摄影师会让整个摄影师列表 500</t>
        </is>
      </c>
      <c r="C9" s="5" t="inlineStr">
        <is>
          <t>高</t>
        </is>
      </c>
      <c r="D9" s="2" t="inlineStr">
        <is>
          <t>C 端 · 摄影师列表 / SQL 聚合</t>
        </is>
      </c>
      <c r="E9" s="2" t="inlineStr">
        <is>
          <t>把某位摄影师的在架套餐全部改为面议（price 留空）→ 打开摄影师列表</t>
        </is>
      </c>
      <c r="F9" s="2" t="inlineStr">
        <is>
          <t>该摄影师按「面议」展示，其余摄影师不受影响</t>
        </is>
      </c>
      <c r="G9" s="2" t="inlineStr">
        <is>
          <t>GET /api/v1/photographers 返回 500 {"error":"internal server error"}，整页摄影师消失</t>
        </is>
      </c>
      <c r="H9" s="2" t="inlineStr">
        <is>
          <t>bool_or 会忽略 NULL 输入：当价格逐行都是 NULL 时 "price = 0" 的取值也逐行是 NULL，bool_or 于是整体返回 NULL；Go 侧 HasFree 是 bool，扫描报 "can't scan into dest[2]: cannot scan NULL into *bool"，handler 直接 500。单测喂的是假行数据，照不出这类 NULL 语义 —— 只有连真库才会暴露。</t>
        </is>
      </c>
      <c r="I9" s="2" t="inlineStr">
        <is>
          <t>server/internal/repository/services.sql.go（getServicePriceSummaries）</t>
        </is>
      </c>
      <c r="J9" s="2" t="inlineStr">
        <is>
          <t>两个 bool_or 都套 COALESCE(..., false)；补 DB 级集成测试钉住「全面议」与「含互勉」两种组合</t>
        </is>
      </c>
      <c r="K9" s="2" t="inlineStr">
        <is>
          <t>已修复（dff4790）</t>
        </is>
      </c>
      <c r="L9" t="inlineStr">
        <is>
          <t>已修复（dff4790）</t>
        </is>
      </c>
    </row>
    <row r="10">
      <c r="A10" s="2" t="inlineStr">
        <is>
          <t>B-09</t>
        </is>
      </c>
      <c r="B10" s="2" t="inlineStr">
        <is>
          <t>摄影师改价后 C 端列表最长 5 分钟仍显示旧价</t>
        </is>
      </c>
      <c r="C10" s="6" t="inlineStr">
        <is>
          <t>中</t>
        </is>
      </c>
      <c r="D10" s="2" t="inlineStr">
        <is>
          <t>缓存 · 摄影师列表 / 套餐</t>
        </is>
      </c>
      <c r="E10" s="2" t="inlineStr">
        <is>
          <t>GET 一次列表（写满缓存）→ 摄影师改套餐价 → 立刻再 GET 列表</t>
        </is>
      </c>
      <c r="F10" s="2" t="inlineStr">
        <is>
          <t>改价后列表立即反映新价</t>
        </is>
      </c>
      <c r="G10" s="2" t="inlineStr">
        <is>
          <t>仍返回旧价（DB 已改成 0 元，接口仍报 399），直到 5 分钟 TTL 自然过期</t>
        </is>
      </c>
      <c r="H10" s="2" t="inlineStr">
        <is>
          <t>PhotographerHandler.List 把整个响应缓存 5 分钟（key photographers:&lt;keyword&gt;:&lt;location&gt;:&lt;tag&gt;:&lt;page&gt;:&lt;size&gt;），但套餐增/改/删从不失效这个 key —— 正好抵掉「摄影师自助定价」的核心承诺：改完价 C 端看不见。</t>
        </is>
      </c>
      <c r="I10" s="2" t="inlineStr">
        <is>
          <t>server/internal/handler/photographer_handler.go:32,63 + server/internal/cache/redis.go</t>
        </is>
      </c>
      <c r="J10" s="2" t="inlineStr">
        <is>
          <t>套餐写入成功后按前缀失效列表缓存（SCAN 游标，不用会阻塞的 KEYS）</t>
        </is>
      </c>
      <c r="K10" s="2" t="inlineStr">
        <is>
          <t>已修复（0f0fbe7）</t>
        </is>
      </c>
      <c r="L10" t="inlineStr">
        <is>
          <t>已修复（0f0fbe7）</t>
        </is>
      </c>
    </row>
  </sheetData>
  <autoFilter ref="A1:K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52" customWidth="1" min="3" max="3"/>
  </cols>
  <sheetData>
    <row r="1">
      <c r="A1" s="8" t="inlineStr">
        <is>
          <t>指标</t>
        </is>
      </c>
      <c r="B1" s="8" t="inlineStr">
        <is>
          <t>数值</t>
        </is>
      </c>
      <c r="C1" s="8" t="inlineStr">
        <is>
          <t>说明</t>
        </is>
      </c>
    </row>
    <row r="2">
      <c r="A2" s="9" t="inlineStr">
        <is>
          <t>用例总数</t>
        </is>
      </c>
      <c r="B2" s="10">
        <f>COUNTA(用例结果!A2:A28)</f>
        <v/>
      </c>
      <c r="C2" s="9" t="inlineStr">
        <is>
          <t>本会话实际执行的用例数；值=27</t>
        </is>
      </c>
    </row>
    <row r="3">
      <c r="A3" s="9" t="inlineStr">
        <is>
          <t>通过</t>
        </is>
      </c>
      <c r="B3" s="10">
        <f>COUNTIF(用例结果!F2:F28,"通过")</f>
        <v/>
      </c>
      <c r="C3" s="9" t="inlineStr">
        <is>
          <t>值=20</t>
        </is>
      </c>
    </row>
    <row r="4">
      <c r="A4" s="9" t="inlineStr">
        <is>
          <t>失败</t>
        </is>
      </c>
      <c r="B4" s="10">
        <f>COUNTIF(用例结果!F2:F28,"失败")</f>
        <v/>
      </c>
      <c r="C4" s="9" t="inlineStr">
        <is>
          <t>值=7</t>
        </is>
      </c>
    </row>
    <row r="5">
      <c r="A5" s="9" t="inlineStr">
        <is>
          <t>通过率</t>
        </is>
      </c>
      <c r="B5" s="11">
        <f>IF(B2=0,0,B3/B2)</f>
        <v/>
      </c>
      <c r="C5" s="9" t="inlineStr">
        <is>
          <t>值=74.1%</t>
        </is>
      </c>
    </row>
    <row r="6">
      <c r="A6" s="9" t="inlineStr">
        <is>
          <t>coser 用例</t>
        </is>
      </c>
      <c r="B6" s="10">
        <f>COUNTIF(用例结果!B2:B28,"coser")</f>
        <v/>
      </c>
      <c r="C6" s="9" t="inlineStr">
        <is>
          <t>值=14</t>
        </is>
      </c>
    </row>
    <row r="7">
      <c r="A7" s="9" t="inlineStr">
        <is>
          <t>摄影师用例</t>
        </is>
      </c>
      <c r="B7" s="10">
        <f>COUNTIF(用例结果!B2:B28,"摄影师")</f>
        <v/>
      </c>
      <c r="C7" s="9" t="inlineStr">
        <is>
          <t>值=13</t>
        </is>
      </c>
    </row>
    <row r="8">
      <c r="A8" s="9" t="inlineStr">
        <is>
          <t>缺陷总数</t>
        </is>
      </c>
      <c r="B8" s="10">
        <f>COUNTA(缺陷清单!A2:A10)</f>
        <v/>
      </c>
      <c r="C8" s="9" t="inlineStr">
        <is>
          <t>值=9</t>
        </is>
      </c>
    </row>
    <row r="9">
      <c r="A9" s="9" t="inlineStr">
        <is>
          <t>高严重度</t>
        </is>
      </c>
      <c r="B9" s="10">
        <f>COUNTIF(缺陷清单!C2:C10,"高")</f>
        <v/>
      </c>
      <c r="C9" s="9" t="inlineStr">
        <is>
          <t>值=2</t>
        </is>
      </c>
    </row>
    <row r="10">
      <c r="A10" s="9" t="inlineStr">
        <is>
          <t>中严重度</t>
        </is>
      </c>
      <c r="B10" s="10">
        <f>COUNTIF(缺陷清单!C2:C10,"中")</f>
        <v/>
      </c>
      <c r="C10" s="9" t="inlineStr">
        <is>
          <t>值=5</t>
        </is>
      </c>
    </row>
    <row r="11">
      <c r="A11" s="9" t="inlineStr">
        <is>
          <t>低严重度</t>
        </is>
      </c>
      <c r="B11" s="10">
        <f>COUNTIF(缺陷清单!C2:C10,"低")</f>
        <v/>
      </c>
      <c r="C11" s="9" t="inlineStr">
        <is>
          <t>值=2</t>
        </is>
      </c>
    </row>
    <row r="12">
      <c r="A12" s="9" t="inlineStr">
        <is>
          <t>已修复</t>
        </is>
      </c>
      <c r="B12" s="10">
        <f>COUNTIF(缺陷清单!K2:K10,"已修复*")</f>
        <v/>
      </c>
      <c r="C12" s="9" t="inlineStr">
        <is>
          <t>值=8</t>
        </is>
      </c>
    </row>
    <row r="13">
      <c r="A13" s="9" t="inlineStr">
        <is>
          <t>待定夺</t>
        </is>
      </c>
      <c r="B13" s="10">
        <f>COUNTIF(缺陷清单!K2:K10,"待定夺*")</f>
        <v/>
      </c>
      <c r="C13" s="9" t="inlineStr">
        <is>
          <t>值=0</t>
        </is>
      </c>
    </row>
    <row r="14">
      <c r="A14" s="9" t="inlineStr">
        <is>
          <t>误报已更正</t>
        </is>
      </c>
      <c r="B14" s="10">
        <f>COUNTIF(缺陷清单!K2:K10,"误报*")</f>
        <v/>
      </c>
      <c r="C14" s="9" t="inlineStr">
        <is>
          <t>值=1</t>
        </is>
      </c>
    </row>
    <row r="16">
      <c r="A16" s="12" t="inlineStr">
        <is>
          <t>执行环境</t>
        </is>
      </c>
    </row>
    <row r="17">
      <c r="A17" s="13" t="inlineStr">
        <is>
          <t>前端：http://localhost:5173 （uniapp H5 dev，Vite）</t>
        </is>
      </c>
    </row>
    <row r="18">
      <c r="A18" s="13" t="inlineStr">
        <is>
          <t>后端：http://127.0.0.1:8088 （Go Gin，dev 二进制 server/build/comic-api）</t>
        </is>
      </c>
    </row>
    <row r="19">
      <c r="A19" s="13" t="inlineStr">
        <is>
          <t>数据库：Postgres 容器 comic-postgres（宿主 5433，库/用户 comic）</t>
        </is>
      </c>
    </row>
    <row r="20">
      <c r="A20" s="13" t="inlineStr">
        <is>
          <t>驱动方式：agent-browser 真实浏览器交互（点击/输入/选择），非仅接口调用</t>
        </is>
      </c>
    </row>
    <row r="21">
      <c r="A21" s="13" t="inlineStr">
        <is>
          <t>账号：coser 13800138000、摄影师 10000000001（UI 登录受正则限制，后者用 token 注入）</t>
        </is>
      </c>
    </row>
    <row r="22">
      <c r="A22" s="13" t="inlineStr">
        <is>
          <t>注意：走查期间 Vite dev server 曾中断一次，已作为受管后台任务重启后复测</t>
        </is>
      </c>
    </row>
    <row r="23">
      <c r="A23" s="13" t="inlineStr">
        <is>
          <t>汇总页公式：本环境 LibreOffice 无法加载 xlsx，recalc 不可用，故公式无缓存值；公式只用 COUNTIF/COUNTA/IF（Excel 2007 期函数，无需 _xlfn 前缀），Excel/WPS 打开即自动计算；每个指标同时在说明列给出生成器实际算出的值，任何查看器都能读到。</t>
        </is>
      </c>
    </row>
    <row r="24">
      <c r="A24" s="13" t="inlineStr">
        <is>
          <t>生成器脚本：.audit/make_report.py（本地草稿目录，已 gitignore；改数据后可重跑再生成）</t>
        </is>
      </c>
    </row>
    <row r="25">
      <c r="A25" s="13" t="inlineStr">
        <is>
          <t>本报告的用例结果记录的是**修复前**的走查实况；缺陷清单的「处置状态」列标注走查之后的动作。</t>
        </is>
      </c>
    </row>
    <row r="26">
      <c r="A26" s="13" t="inlineStr">
        <is>
          <t>B-08 / B-09 不是走查用例发现的，是修复 B-02 时用真库与真实浏览器复核逮到的连带缺陷，一并登记在此。</t>
        </is>
      </c>
    </row>
    <row r="27">
      <c r="A27" s="13" t="inlineStr">
        <is>
          <t>B-02 复验：真库 + 浏览器覆盖四个分支 —— ¥399 起（列表页/搜索页）、互勉、面议、暂未设置；首页推荐位（接口不返回价格汇总）完全不显示价格，不把「没查到」说成「暂未设置」。</t>
        </is>
      </c>
    </row>
    <row r="28">
      <c r="A28" s="13" t="inlineStr">
        <is>
          <t>B-06 处置（2026-09-24，产品决策=确认接单后才显示）：遮罩写在 SQL 层而非前端，完整号码不再出现在未接单的响应体里；已用浏览器实测跨越那条线——待确认显示「确认接单后可见」，点下「确认接单」状态转「待完成」的同一刻号码出现。覆盖 pending/confirmed/completed/cancelled 的DB 级集成测试已加。</t>
        </is>
      </c>
    </row>
    <row r="29">
      <c r="A29" s="13" t="inlineStr">
        <is>
          <t>B-06 补充实测（2026-09-24，面议/报价路径）：真造了一单面议订单走完整流程——待报价 coserPhone='' → 摄影师报价 ¥888（price_status=quoted，status 仍是 pending）号码仍为 '' → coser 接受报价（转 confirmed/agreed）号码才出现。即「报价 ≠ 成交」，号码卡在成交那一刻，与商品（闲鱼/淘宝）逻辑一致。产品判断：未接单前无需站内联系渠道 —— coser 发需求、摄影师在接单管理里接单即可，故此前建议的「未接单时加联系入口」不做。临时订单/套餐已清理，演示数据回到基线。</t>
        </is>
      </c>
    </row>
    <row r="30">
      <c r="A30" s="13" t="inlineStr">
        <is>
          <t>B-06 残留不对称（记录待评估，非缺陷）：成交后摄影师拿到 coser 手机号，而 coser 侧没有任何摄影师电话字段（server 内 grep photographerPhone = 0），只能走站内聊天（订单页「联系摄影师」）。若认为成交后应双向交换联系方式，需另开一项。</t>
        </is>
      </c>
    </row>
  </sheetData>
  <mergeCells count="14">
    <mergeCell ref="A25:C25"/>
    <mergeCell ref="A28:C28"/>
    <mergeCell ref="A19:C19"/>
    <mergeCell ref="A23:C23"/>
    <mergeCell ref="A22:C22"/>
    <mergeCell ref="A17:C17"/>
    <mergeCell ref="A18:C18"/>
    <mergeCell ref="A27:C27"/>
    <mergeCell ref="A21:C21"/>
    <mergeCell ref="A30:C30"/>
    <mergeCell ref="A26:C26"/>
    <mergeCell ref="A20:C20"/>
    <mergeCell ref="A24:C24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2026-09-24T08:07:37Z</dcterms:created>
  <dcterms:modified xmlns:dcterms="http://purl.org/dc/terms/" xmlns:xsi="http://www.w3.org/2001/XMLSchema-instance" xsi:type="dcterms:W3CDTF">2026-09-24T08:07:37Z</dcterms:modified>
</cp:coreProperties>
</file>