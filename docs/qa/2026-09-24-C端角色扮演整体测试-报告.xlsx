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用例结果" sheetId="1" state="visible" r:id="rId1"/>
    <sheet xmlns:r="http://schemas.openxmlformats.org/officeDocument/2006/relationships" name="缺陷清单" sheetId="2" state="visible" r:id="rId2"/>
    <sheet xmlns:r="http://schemas.openxmlformats.org/officeDocument/2006/relationships" name="汇总" sheetId="3" state="visible" r:id="rId3"/>
  </sheets>
  <definedNames>
    <definedName name="_xlnm._FilterDatabase" localSheetId="0" hidden="1">'用例结果'!$A$1:$G$28</definedName>
    <definedName name="_xlnm._FilterDatabase" localSheetId="1" hidden="1">'缺陷清单'!$A$1:$K$17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30" customWidth="1" min="3" max="3"/>
    <col width="38" customWidth="1" min="4" max="4"/>
    <col width="42" customWidth="1" min="5" max="5"/>
    <col width="8" customWidth="1" min="6" max="6"/>
    <col width="11" customWidth="1" min="7" max="7"/>
  </cols>
  <sheetData>
    <row r="1">
      <c r="A1" s="1" t="inlineStr">
        <is>
          <t>用例 ID</t>
        </is>
      </c>
      <c r="B1" s="1" t="inlineStr">
        <is>
          <t>角色</t>
        </is>
      </c>
      <c r="C1" s="1" t="inlineStr">
        <is>
          <t>场景</t>
        </is>
      </c>
      <c r="D1" s="1" t="inlineStr">
        <is>
          <t>期望结果</t>
        </is>
      </c>
      <c r="E1" s="1" t="inlineStr">
        <is>
          <t>实际结果</t>
        </is>
      </c>
      <c r="F1" s="1" t="inlineStr">
        <is>
          <t>结论</t>
        </is>
      </c>
      <c r="G1" s="1" t="inlineStr">
        <is>
          <t>关联缺陷</t>
        </is>
      </c>
    </row>
    <row r="2">
      <c r="A2" s="2" t="inlineStr">
        <is>
          <t>C-01</t>
        </is>
      </c>
      <c r="B2" s="2" t="inlineStr">
        <is>
          <t>coser</t>
        </is>
      </c>
      <c r="C2" s="2" t="inlineStr">
        <is>
          <t>首页加载（未登录）</t>
        </is>
      </c>
      <c r="D2" s="2" t="inlineStr">
        <is>
          <t>展示轮播/近期漫展/入口，可浏览</t>
        </is>
      </c>
      <c r="E2" s="2" t="inlineStr">
        <is>
          <t>正常渲染，7 大区块齐全</t>
        </is>
      </c>
      <c r="F2" s="3" t="inlineStr">
        <is>
          <t>通过</t>
        </is>
      </c>
      <c r="G2" s="2" t="inlineStr"/>
    </row>
    <row r="3">
      <c r="A3" s="2" t="inlineStr">
        <is>
          <t>C-02</t>
        </is>
      </c>
      <c r="B3" s="2" t="inlineStr">
        <is>
          <t>coser</t>
        </is>
      </c>
      <c r="C3" s="2" t="inlineStr">
        <is>
          <t>手机号+验证码登录</t>
        </is>
      </c>
      <c r="D3" s="2" t="inlineStr">
        <is>
          <t>填写后可登录并跳转</t>
        </is>
      </c>
      <c r="E3" s="2" t="inlineStr">
        <is>
          <t>正常；跳转个人中心，token 已存</t>
        </is>
      </c>
      <c r="F3" s="3" t="inlineStr">
        <is>
          <t>通过</t>
        </is>
      </c>
      <c r="G3" s="2" t="inlineStr"/>
    </row>
    <row r="4">
      <c r="A4" s="2" t="inlineStr">
        <is>
          <t>C-03</t>
        </is>
      </c>
      <c r="B4" s="2" t="inlineStr">
        <is>
          <t>coser</t>
        </is>
      </c>
      <c r="C4" s="2" t="inlineStr">
        <is>
          <t>未勾选《用户协议》就点登录</t>
        </is>
      </c>
      <c r="D4" s="2" t="inlineStr">
        <is>
          <t>应明确提示为何不能登录</t>
        </is>
      </c>
      <c r="E4" s="2" t="inlineStr">
        <is>
          <t>按钮禁用且点击静默无任何反馈</t>
        </is>
      </c>
      <c r="F4" s="4" t="inlineStr">
        <is>
          <t>失败</t>
        </is>
      </c>
      <c r="G4" s="2" t="inlineStr">
        <is>
          <t>B-05</t>
        </is>
      </c>
    </row>
    <row r="5">
      <c r="A5" s="2" t="inlineStr">
        <is>
          <t>C-04</t>
        </is>
      </c>
      <c r="B5" s="2" t="inlineStr">
        <is>
          <t>coser</t>
        </is>
      </c>
      <c r="C5" s="2" t="inlineStr">
        <is>
          <t>摄影师列表浏览</t>
        </is>
      </c>
      <c r="D5" s="2" t="inlineStr">
        <is>
          <t>应能看到价格区间（¥X 起/互勉/面议）</t>
        </is>
      </c>
      <c r="E5" s="2" t="inlineStr">
        <is>
          <t>完全不显示任何价格</t>
        </is>
      </c>
      <c r="F5" s="4" t="inlineStr">
        <is>
          <t>失败</t>
        </is>
      </c>
      <c r="G5" s="2" t="inlineStr">
        <is>
          <t>B-02</t>
        </is>
      </c>
    </row>
    <row r="6">
      <c r="A6" s="2" t="inlineStr">
        <is>
          <t>C-05</t>
        </is>
      </c>
      <c r="B6" s="2" t="inlineStr">
        <is>
          <t>coser</t>
        </is>
      </c>
      <c r="C6" s="2" t="inlineStr">
        <is>
          <t>摄影师详情：套餐三态渲染</t>
        </is>
      </c>
      <c r="D6" s="2" t="inlineStr">
        <is>
          <t>固定价显示 ¥N，互勉显示「互勉」，面议显示「面议」</t>
        </is>
      </c>
      <c r="E6" s="2" t="inlineStr">
        <is>
          <t>三态均正确</t>
        </is>
      </c>
      <c r="F6" s="3" t="inlineStr">
        <is>
          <t>通过</t>
        </is>
      </c>
      <c r="G6" s="2" t="inlineStr"/>
    </row>
    <row r="7">
      <c r="A7" s="2" t="inlineStr">
        <is>
          <t>C-06</t>
        </is>
      </c>
      <c r="B7" s="2" t="inlineStr">
        <is>
          <t>coser</t>
        </is>
      </c>
      <c r="C7" s="2" t="inlineStr">
        <is>
          <t>固定价下单</t>
        </is>
      </c>
      <c r="D7" s="2" t="inlineStr">
        <is>
          <t>创建订单，金额=套餐价</t>
        </is>
      </c>
      <c r="E7" s="2" t="inlineStr">
        <is>
          <t>订单 #58 待确认 ¥399</t>
        </is>
      </c>
      <c r="F7" s="3" t="inlineStr">
        <is>
          <t>通过</t>
        </is>
      </c>
      <c r="G7" s="2" t="inlineStr"/>
    </row>
    <row r="8">
      <c r="A8" s="2" t="inlineStr">
        <is>
          <t>C-07</t>
        </is>
      </c>
      <c r="B8" s="2" t="inlineStr">
        <is>
          <t>coser</t>
        </is>
      </c>
      <c r="C8" s="2" t="inlineStr">
        <is>
          <t>互勉套餐下单</t>
        </is>
      </c>
      <c r="D8" s="2" t="inlineStr">
        <is>
          <t>合计显示「互勉」而非 ¥0</t>
        </is>
      </c>
      <c r="E8" s="2" t="inlineStr">
        <is>
          <t>合计「互勉」，订单显示「互勉」</t>
        </is>
      </c>
      <c r="F8" s="3" t="inlineStr">
        <is>
          <t>通过</t>
        </is>
      </c>
      <c r="G8" s="2" t="inlineStr"/>
    </row>
    <row r="9">
      <c r="A9" s="2" t="inlineStr">
        <is>
          <t>C-08</t>
        </is>
      </c>
      <c r="B9" s="2" t="inlineStr">
        <is>
          <t>coser</t>
        </is>
      </c>
      <c r="C9" s="2" t="inlineStr">
        <is>
          <t>面议套餐下单</t>
        </is>
      </c>
      <c r="D9" s="2" t="inlineStr">
        <is>
          <t>合计显示「面议」并提示等待报价</t>
        </is>
      </c>
      <c r="E9" s="2" t="inlineStr">
        <is>
          <t>合计「面议」+「提交后等待摄影师报价」</t>
        </is>
      </c>
      <c r="F9" s="3" t="inlineStr">
        <is>
          <t>通过</t>
        </is>
      </c>
      <c r="G9" s="2" t="inlineStr"/>
    </row>
    <row r="10">
      <c r="A10" s="2" t="inlineStr">
        <is>
          <t>C-09</t>
        </is>
      </c>
      <c r="B10" s="2" t="inlineStr">
        <is>
          <t>coser</t>
        </is>
      </c>
      <c r="C10" s="2" t="inlineStr">
        <is>
          <t>同一摄影师同一时段重复下单</t>
        </is>
      </c>
      <c r="D10" s="2" t="inlineStr">
        <is>
          <t>应被拒绝</t>
        </is>
      </c>
      <c r="E10" s="2" t="inlineStr">
        <is>
          <t>该时段变为禁用（disabled），无法选择</t>
        </is>
      </c>
      <c r="F10" s="3" t="inlineStr">
        <is>
          <t>通过</t>
        </is>
      </c>
      <c r="G10" s="2" t="inlineStr"/>
    </row>
    <row r="11">
      <c r="A11" s="2" t="inlineStr">
        <is>
          <t>C-10</t>
        </is>
      </c>
      <c r="B11" s="2" t="inlineStr">
        <is>
          <t>coser</t>
        </is>
      </c>
      <c r="C11" s="2" t="inlineStr">
        <is>
          <t>订单列表价格状态</t>
        </is>
      </c>
      <c r="D11" s="2" t="inlineStr">
        <is>
          <t>面议单显示「待报价」而非 ¥0（设计 §4.1）</t>
        </is>
      </c>
      <c r="E11" s="2" t="inlineStr">
        <is>
          <t>显示「待报价」</t>
        </is>
      </c>
      <c r="F11" s="3" t="inlineStr">
        <is>
          <t>通过</t>
        </is>
      </c>
      <c r="G11" s="2" t="inlineStr"/>
    </row>
    <row r="12">
      <c r="A12" s="2" t="inlineStr">
        <is>
          <t>C-11</t>
        </is>
      </c>
      <c r="B12" s="2" t="inlineStr">
        <is>
          <t>coser</t>
        </is>
      </c>
      <c r="C12" s="2" t="inlineStr">
        <is>
          <t>订单详情：拍摄时长</t>
        </is>
      </c>
      <c r="D12" s="2" t="inlineStr">
        <is>
          <t>显示套餐时长（如 120 分钟）</t>
        </is>
      </c>
      <c r="E12" s="2" t="inlineStr">
        <is>
          <t>恒显示「0分钟」</t>
        </is>
      </c>
      <c r="F12" s="4" t="inlineStr">
        <is>
          <t>失败</t>
        </is>
      </c>
      <c r="G12" s="2" t="inlineStr">
        <is>
          <t>B-01</t>
        </is>
      </c>
    </row>
    <row r="13">
      <c r="A13" s="2" t="inlineStr">
        <is>
          <t>C-12</t>
        </is>
      </c>
      <c r="B13" s="2" t="inlineStr">
        <is>
          <t>coser</t>
        </is>
      </c>
      <c r="C13" s="2" t="inlineStr">
        <is>
          <t>订单详情：历史单价格快照</t>
        </is>
      </c>
      <c r="D13" s="2" t="inlineStr">
        <is>
          <t>显示下单时价格，不受后续改价影响</t>
        </is>
      </c>
      <c r="E13" s="2" t="inlineStr">
        <is>
          <t>订单 #3 显示 ¥999（套餐现价 ¥1299）</t>
        </is>
      </c>
      <c r="F13" s="3" t="inlineStr">
        <is>
          <t>通过</t>
        </is>
      </c>
      <c r="G13" s="2" t="inlineStr"/>
    </row>
    <row r="14">
      <c r="A14" s="2" t="inlineStr">
        <is>
          <t>C-13</t>
        </is>
      </c>
      <c r="B14" s="2" t="inlineStr">
        <is>
          <t>coser</t>
        </is>
      </c>
      <c r="C14" s="2" t="inlineStr">
        <is>
          <t>接受报价</t>
        </is>
      </c>
      <c r="D14" s="2" t="inlineStr">
        <is>
          <t>确认弹窗→接受后订单转「待完成」且总计=报价</t>
        </is>
      </c>
      <c r="E14" s="2" t="inlineStr">
        <is>
          <t>订单 #59 转待完成，¥888</t>
        </is>
      </c>
      <c r="F14" s="3" t="inlineStr">
        <is>
          <t>通过</t>
        </is>
      </c>
      <c r="G14" s="2" t="inlineStr"/>
    </row>
    <row r="15">
      <c r="A15" s="2" t="inlineStr">
        <is>
          <t>C-14</t>
        </is>
      </c>
      <c r="B15" s="2" t="inlineStr">
        <is>
          <t>coser</t>
        </is>
      </c>
      <c r="C15" s="2" t="inlineStr">
        <is>
          <t>个人中心</t>
        </is>
      </c>
      <c r="D15" s="2" t="inlineStr">
        <is>
          <t>展示昵称/角色标签/菜单</t>
        </is>
      </c>
      <c r="E15" s="2" t="inlineStr">
        <is>
          <t>正常</t>
        </is>
      </c>
      <c r="F15" s="3" t="inlineStr">
        <is>
          <t>通过</t>
        </is>
      </c>
      <c r="G15" s="2" t="inlineStr"/>
    </row>
    <row r="16">
      <c r="A16" s="2" t="inlineStr">
        <is>
          <t>P-01</t>
        </is>
      </c>
      <c r="B16" s="2" t="inlineStr">
        <is>
          <t>摄影师</t>
        </is>
      </c>
      <c r="C16" s="2" t="inlineStr">
        <is>
          <t>UI 登录摄影师账号</t>
        </is>
      </c>
      <c r="D16" s="2" t="inlineStr">
        <is>
          <t>可用种子摄影师账号登录</t>
        </is>
      </c>
      <c r="E16" s="2" t="inlineStr">
        <is>
          <t>手机号正则挡住 10000000001，无法登录</t>
        </is>
      </c>
      <c r="F16" s="4" t="inlineStr">
        <is>
          <t>失败</t>
        </is>
      </c>
      <c r="G16" s="2" t="inlineStr">
        <is>
          <t>B-07</t>
        </is>
      </c>
    </row>
    <row r="17">
      <c r="A17" s="2" t="inlineStr">
        <is>
          <t>P-02</t>
        </is>
      </c>
      <c r="B17" s="2" t="inlineStr">
        <is>
          <t>摄影师</t>
        </is>
      </c>
      <c r="C17" s="2" t="inlineStr">
        <is>
          <t>我的套餐列表</t>
        </is>
      </c>
      <c r="D17" s="2" t="inlineStr">
        <is>
          <t>展示套餐+上架状态+操作</t>
        </is>
      </c>
      <c r="E17" s="2" t="inlineStr">
        <is>
          <t>6 个套餐，状态标签正确</t>
        </is>
      </c>
      <c r="F17" s="3" t="inlineStr">
        <is>
          <t>通过</t>
        </is>
      </c>
      <c r="G17" s="2" t="inlineStr"/>
    </row>
    <row r="18">
      <c r="A18" s="2" t="inlineStr">
        <is>
          <t>P-03</t>
        </is>
      </c>
      <c r="B18" s="2" t="inlineStr">
        <is>
          <t>摄影师</t>
        </is>
      </c>
      <c r="C18" s="2" t="inlineStr">
        <is>
          <t>新增套餐：固定价</t>
        </is>
      </c>
      <c r="D18" s="2" t="inlineStr">
        <is>
          <t>创建成功</t>
        </is>
      </c>
      <c r="E18" s="2" t="inlineStr">
        <is>
          <t>成功</t>
        </is>
      </c>
      <c r="F18" s="3" t="inlineStr">
        <is>
          <t>通过</t>
        </is>
      </c>
      <c r="G18" s="2" t="inlineStr"/>
    </row>
    <row r="19">
      <c r="A19" s="2" t="inlineStr">
        <is>
          <t>P-04</t>
        </is>
      </c>
      <c r="B19" s="2" t="inlineStr">
        <is>
          <t>摄影师</t>
        </is>
      </c>
      <c r="C19" s="2" t="inlineStr">
        <is>
          <t>新增套餐：价格留空=面议</t>
        </is>
      </c>
      <c r="D19" s="2" t="inlineStr">
        <is>
          <t>创建为面议</t>
        </is>
      </c>
      <c r="E19" s="2" t="inlineStr">
        <is>
          <t>成功，标签「面议」</t>
        </is>
      </c>
      <c r="F19" s="3" t="inlineStr">
        <is>
          <t>通过</t>
        </is>
      </c>
      <c r="G19" s="2" t="inlineStr"/>
    </row>
    <row r="20">
      <c r="A20" s="2" t="inlineStr">
        <is>
          <t>P-05</t>
        </is>
      </c>
      <c r="B20" s="2" t="inlineStr">
        <is>
          <t>摄影师</t>
        </is>
      </c>
      <c r="C20" s="2" t="inlineStr">
        <is>
          <t>新增套餐：价格填 0=互勉</t>
        </is>
      </c>
      <c r="D20" s="2" t="inlineStr">
        <is>
          <t>创建为互勉</t>
        </is>
      </c>
      <c r="E20" s="2" t="inlineStr">
        <is>
          <t>成功，标签「互勉」</t>
        </is>
      </c>
      <c r="F20" s="3" t="inlineStr">
        <is>
          <t>通过</t>
        </is>
      </c>
      <c r="G20" s="2" t="inlineStr"/>
    </row>
    <row r="21">
      <c r="A21" s="2" t="inlineStr">
        <is>
          <t>P-06</t>
        </is>
      </c>
      <c r="B21" s="2" t="inlineStr">
        <is>
          <t>摄影师</t>
        </is>
      </c>
      <c r="C21" s="2" t="inlineStr">
        <is>
          <t>新增套餐：价格填负数</t>
        </is>
      </c>
      <c r="D21" s="2" t="inlineStr">
        <is>
          <t>应被拒绝并提示</t>
        </is>
      </c>
      <c r="E21" s="2" t="inlineStr">
        <is>
          <t>内联报错「价格需为不小于 0 的数字」，未创建</t>
        </is>
      </c>
      <c r="F21" s="3" t="inlineStr">
        <is>
          <t>通过</t>
        </is>
      </c>
      <c r="G21" s="2" t="inlineStr"/>
    </row>
    <row r="22">
      <c r="A22" s="2" t="inlineStr">
        <is>
          <t>P-07</t>
        </is>
      </c>
      <c r="B22" s="2" t="inlineStr">
        <is>
          <t>摄影师</t>
        </is>
      </c>
      <c r="C22" s="2" t="inlineStr">
        <is>
          <t>新增套餐：时长留空</t>
        </is>
      </c>
      <c r="D22" s="2" t="inlineStr">
        <is>
          <t>应提示时长必填/为 0 需确认</t>
        </is>
      </c>
      <c r="E22" s="2" t="inlineStr">
        <is>
          <t>静默创建时长为 0 的套餐</t>
        </is>
      </c>
      <c r="F22" s="4" t="inlineStr">
        <is>
          <t>失败</t>
        </is>
      </c>
      <c r="G22" s="2" t="inlineStr">
        <is>
          <t>B-03</t>
        </is>
      </c>
    </row>
    <row r="23">
      <c r="A23" s="2" t="inlineStr">
        <is>
          <t>P-08</t>
        </is>
      </c>
      <c r="B23" s="2" t="inlineStr">
        <is>
          <t>摄影师</t>
        </is>
      </c>
      <c r="C23" s="2" t="inlineStr">
        <is>
          <t>下架套餐</t>
        </is>
      </c>
      <c r="D23" s="2" t="inlineStr">
        <is>
          <t>标签变下架，公开页同步隐藏</t>
        </is>
      </c>
      <c r="E23" s="2" t="inlineStr">
        <is>
          <t>标签翻转，公开详情由 4 个变 3 个</t>
        </is>
      </c>
      <c r="F23" s="3" t="inlineStr">
        <is>
          <t>通过</t>
        </is>
      </c>
      <c r="G23" s="2" t="inlineStr"/>
    </row>
    <row r="24">
      <c r="A24" s="2" t="inlineStr">
        <is>
          <t>P-09</t>
        </is>
      </c>
      <c r="B24" s="2" t="inlineStr">
        <is>
          <t>摄影师</t>
        </is>
      </c>
      <c r="C24" s="2" t="inlineStr">
        <is>
          <t>上下架开关（本轮修复项）</t>
        </is>
      </c>
      <c r="D24" s="2" t="inlineStr">
        <is>
          <t>可切换且不再被编辑重置</t>
        </is>
      </c>
      <c r="E24" s="2" t="inlineStr">
        <is>
          <t>切换有效，编辑后保持</t>
        </is>
      </c>
      <c r="F24" s="3" t="inlineStr">
        <is>
          <t>通过</t>
        </is>
      </c>
      <c r="G24" s="2" t="inlineStr"/>
    </row>
    <row r="25">
      <c r="A25" s="2" t="inlineStr">
        <is>
          <t>P-10</t>
        </is>
      </c>
      <c r="B25" s="2" t="inlineStr">
        <is>
          <t>摄影师</t>
        </is>
      </c>
      <c r="C25" s="2" t="inlineStr">
        <is>
          <t>接单管理列表</t>
        </is>
      </c>
      <c r="D25" s="2" t="inlineStr">
        <is>
          <t>展示订单+操作按钮</t>
        </is>
      </c>
      <c r="E25" s="2" t="inlineStr">
        <is>
          <t>面议单有「报价/拒绝」，固定价有「确认接单/拒绝」</t>
        </is>
      </c>
      <c r="F25" s="3" t="inlineStr">
        <is>
          <t>通过</t>
        </is>
      </c>
      <c r="G25" s="2" t="inlineStr"/>
    </row>
    <row r="26">
      <c r="A26" s="2" t="inlineStr">
        <is>
          <t>P-11</t>
        </is>
      </c>
      <c r="B26" s="2" t="inlineStr">
        <is>
          <t>摄影师</t>
        </is>
      </c>
      <c r="C26" s="2" t="inlineStr">
        <is>
          <t>面议报价</t>
        </is>
      </c>
      <c r="D26" s="2" t="inlineStr">
        <is>
          <t>弹窗输入金额→提交</t>
        </is>
      </c>
      <c r="E26" s="2" t="inlineStr">
        <is>
          <t>报价成功，订单转「已报价 ¥888」</t>
        </is>
      </c>
      <c r="F26" s="3" t="inlineStr">
        <is>
          <t>通过</t>
        </is>
      </c>
      <c r="G26" s="2" t="inlineStr"/>
    </row>
    <row r="27">
      <c r="A27" s="2" t="inlineStr">
        <is>
          <t>P-12</t>
        </is>
      </c>
      <c r="B27" s="2" t="inlineStr">
        <is>
          <t>摄影师</t>
        </is>
      </c>
      <c r="C27" s="2" t="inlineStr">
        <is>
          <t>接单管理：客户手机号可见性</t>
        </is>
      </c>
      <c r="D27" s="2" t="inlineStr">
        <is>
          <t>建议仅在确认接单后或经站内聊天联系</t>
        </is>
      </c>
      <c r="E27" s="2" t="inlineStr">
        <is>
          <t>未接单即可见完整手机号</t>
        </is>
      </c>
      <c r="F27" s="4" t="inlineStr">
        <is>
          <t>失败</t>
        </is>
      </c>
      <c r="G27" s="2" t="inlineStr">
        <is>
          <t>B-06</t>
        </is>
      </c>
    </row>
    <row r="28">
      <c r="A28" s="2" t="inlineStr">
        <is>
          <t>P-13</t>
        </is>
      </c>
      <c r="B28" s="2" t="inlineStr">
        <is>
          <t>摄影师</t>
        </is>
      </c>
      <c r="C28" s="2" t="inlineStr">
        <is>
          <t>0 分钟套餐在预约页的展示</t>
        </is>
      </c>
      <c r="D28" s="2" t="inlineStr">
        <is>
          <t>应与管理页口径一致（未填写）</t>
        </is>
      </c>
      <c r="E28" s="2" t="inlineStr">
        <is>
          <t>预约页显示「0分钟」</t>
        </is>
      </c>
      <c r="F28" s="4" t="inlineStr">
        <is>
          <t>失败</t>
        </is>
      </c>
      <c r="G28" s="2" t="inlineStr">
        <is>
          <t>B-04</t>
        </is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7" customWidth="1" min="3" max="3"/>
    <col width="20" customWidth="1" min="4" max="4"/>
    <col width="34" customWidth="1" min="5" max="5"/>
    <col width="34" customWidth="1" min="6" max="6"/>
    <col width="34" customWidth="1" min="7" max="7"/>
    <col width="60" customWidth="1" min="8" max="8"/>
    <col width="40" customWidth="1" min="9" max="9"/>
    <col width="40" customWidth="1" min="10" max="10"/>
    <col width="34" customWidth="1" min="11" max="11"/>
  </cols>
  <sheetData>
    <row r="1">
      <c r="A1" s="1" t="inlineStr">
        <is>
          <t>缺陷 ID</t>
        </is>
      </c>
      <c r="B1" s="1" t="inlineStr">
        <is>
          <t>标题</t>
        </is>
      </c>
      <c r="C1" s="1" t="inlineStr">
        <is>
          <t>严重度</t>
        </is>
      </c>
      <c r="D1" s="1" t="inlineStr">
        <is>
          <t>模块</t>
        </is>
      </c>
      <c r="E1" s="1" t="inlineStr">
        <is>
          <t>复现步骤</t>
        </is>
      </c>
      <c r="F1" s="1" t="inlineStr">
        <is>
          <t>期望</t>
        </is>
      </c>
      <c r="G1" s="1" t="inlineStr">
        <is>
          <t>实际</t>
        </is>
      </c>
      <c r="H1" s="1" t="inlineStr">
        <is>
          <t>证据 / 根因</t>
        </is>
      </c>
      <c r="I1" s="1" t="inlineStr">
        <is>
          <t>代码位置</t>
        </is>
      </c>
      <c r="J1" s="1" t="inlineStr">
        <is>
          <t>修复建议</t>
        </is>
      </c>
      <c r="K1" s="1" t="inlineStr">
        <is>
          <t>处置状态</t>
        </is>
      </c>
    </row>
    <row r="2">
      <c r="A2" s="2" t="inlineStr">
        <is>
          <t>B-01</t>
        </is>
      </c>
      <c r="B2" s="2" t="inlineStr">
        <is>
          <t>订单详情/列表「拍摄时长」恒显示 0 分钟</t>
        </is>
      </c>
      <c r="C2" s="5" t="inlineStr">
        <is>
          <t>高</t>
        </is>
      </c>
      <c r="D2" s="2" t="inlineStr">
        <is>
          <t>订单 / DTO</t>
        </is>
      </c>
      <c r="E2" s="2" t="inlineStr">
        <is>
          <t>任意 coser 或摄影师查看订单详情（示例：订单 #59 / #58）</t>
        </is>
      </c>
      <c r="F2" s="2" t="inlineStr">
        <is>
          <t>显示该套餐的时长快照（基础套餐 120 分钟）</t>
        </is>
      </c>
      <c r="G2" s="2" t="inlineStr">
        <is>
          <t>恒显示「拍摄时长 0分钟」</t>
        </is>
      </c>
      <c r="H2" s="2" t="inlineStr">
        <is>
          <t>DB `bookings.service_duration` = 120（快照已正确写入）；但订单接口返回字段中**没有**任何 duration 字段：GET /api/v1/bookings/5 的订单对象字段为 coserId/createdAt/date/id/photographerAvatar/photographerId/photographerName/photographerUserId/priceMode/priceStatus/quotePrice/remarks/serviceId/serviceName/status/time/totalPrice。前端 `order.duration || 0` 于是恒为 0。</t>
        </is>
      </c>
      <c r="I2" s="2" t="inlineStr">
        <is>
          <t>server/internal/service/booking_service.go（`BookingItem` 缺 ServiceDuration）＋ src/pages/order/detail.vue:41</t>
        </is>
      </c>
      <c r="J2" s="2" t="inlineStr">
        <is>
          <t>在订单读路径的 SELECT/Scan 与 `BookingItem` 补 `serviceDuration`，前端改用该字段</t>
        </is>
      </c>
      <c r="K2" s="2" t="inlineStr">
        <is>
          <t>已修复（63f81c3）</t>
        </is>
      </c>
    </row>
    <row r="3">
      <c r="A3" s="2" t="inlineStr">
        <is>
          <t>B-02</t>
        </is>
      </c>
      <c r="B3" s="2" t="inlineStr">
        <is>
          <t>摄影师列表不显示任何价格</t>
        </is>
      </c>
      <c r="C3" s="6" t="inlineStr">
        <is>
          <t>中</t>
        </is>
      </c>
      <c r="D3" s="2" t="inlineStr">
        <is>
          <t>C 端 · 摄影师列表</t>
        </is>
      </c>
      <c r="E3" s="2" t="inlineStr">
        <is>
          <t>打开 首页 → 摄影师 列表</t>
        </is>
      </c>
      <c r="F3" s="2" t="inlineStr">
        <is>
          <t>按 spec §7 显示 `¥&lt;最低价&gt; 起` / `互勉` / `面议` / `暂未设置`</t>
        </is>
      </c>
      <c r="G3" s="2" t="inlineStr">
        <is>
          <t>卡片只有昵称/评分/简介/标签/城市/接单数，无价格</t>
        </is>
      </c>
      <c r="H3" s="2" t="inlineStr">
        <is>
          <t>`src/pages/photographer/list.vue` 内价格渲染为 0 处（grep 无 ¥/起/互勉/面议）。设计文档 §7 把该项列为「新增」而非改造，实现时遗漏。</t>
        </is>
      </c>
      <c r="I3" s="2" t="inlineStr">
        <is>
          <t>src/pages/photographer/list.vue</t>
        </is>
      </c>
      <c r="J3" s="2" t="inlineStr">
        <is>
          <t>补列表页价格聚合（建议抽 `utils/price.ts` 共享渲染，避免列表/详情/订单三处口径漂移）</t>
        </is>
      </c>
      <c r="K3" s="2" t="inlineStr">
        <is>
          <t>已修复（dff4790 + f5f9309）— 接口批量返回价格汇总 + 卡片显示「¥最低价 起 / 互勉 / 面议 / 暂未设置」</t>
        </is>
      </c>
    </row>
    <row r="4">
      <c r="A4" s="2" t="inlineStr">
        <is>
          <t>B-03</t>
        </is>
      </c>
      <c r="B4" s="2" t="inlineStr">
        <is>
          <t>新增套餐时「时长」留空即静默存 0，无校验</t>
        </is>
      </c>
      <c r="C4" s="6" t="inlineStr">
        <is>
          <t>中</t>
        </is>
      </c>
      <c r="D4" s="2" t="inlineStr">
        <is>
          <t>摄影师 · 我的套餐</t>
        </is>
      </c>
      <c r="E4" s="2" t="inlineStr">
        <is>
          <t>我的套餐 → ＋新增套餐 → 只填名称、时长清空 → 创建套餐</t>
        </is>
      </c>
      <c r="F4" s="2" t="inlineStr">
        <is>
          <t>应提示时长必填（或至少确认「0 分钟」的含义）</t>
        </is>
      </c>
      <c r="G4" s="2" t="inlineStr">
        <is>
          <t>套餐创建成功，管理页时长显示「未填写」</t>
        </is>
      </c>
      <c r="H4" s="2" t="inlineStr">
        <is>
          <t>`normalizedDuration()`（src/pages/photographer/services.vue:228-232）对非法/空输入一律返回 0，既不报错也不提示；后端 `Duration` 为 int32，0 合法，于是入库为 0。</t>
        </is>
      </c>
      <c r="I4" s="2" t="inlineStr">
        <is>
          <t>src/pages/photographer/services.vue:228-232</t>
        </is>
      </c>
      <c r="J4" s="2" t="inlineStr">
        <is>
          <t>时长加 `&gt;0` 校验并给出单位提示（placeholder 写「例如：60（分钟）」）</t>
        </is>
      </c>
      <c r="K4" s="2" t="inlineStr">
        <is>
          <t>已修复（63f81c3）</t>
        </is>
      </c>
    </row>
    <row r="5">
      <c r="A5" s="2" t="inlineStr">
        <is>
          <t>B-04</t>
        </is>
      </c>
      <c r="B5" s="2" t="inlineStr">
        <is>
          <t>同一份数据在管理页与预约页口径不一致</t>
        </is>
      </c>
      <c r="C5" s="7" t="inlineStr">
        <is>
          <t>低</t>
        </is>
      </c>
      <c r="D5" s="2" t="inlineStr">
        <is>
          <t>套餐展示</t>
        </is>
      </c>
      <c r="E5" s="2" t="inlineStr">
        <is>
          <t>用 B-03 创建的 0 分钟套餐，分别打开 我的套餐 与 预约页</t>
        </is>
      </c>
      <c r="F5" s="2" t="inlineStr">
        <is>
          <t>两处对同一字段的缺失值应给出一致文案</t>
        </is>
      </c>
      <c r="G5" s="2" t="inlineStr">
        <is>
          <t>管理页显示「时长 未填写」；预约页显示「0分钟」</t>
        </is>
      </c>
      <c r="H5" s="2" t="inlineStr">
        <is>
          <t>两页各自实现格式化（services.vue `formatDuration` 把 &lt;=0 显示「未填写」；booking 页直接拼接数字）。</t>
        </is>
      </c>
      <c r="I5" s="2" t="inlineStr">
        <is>
          <t>src/pages/photographer/services.vue（formatDuration） vs src/pages/booking/index.vue</t>
        </is>
      </c>
      <c r="J5" s="2" t="inlineStr">
        <is>
          <t>把时长格式化收敛到一个共享 util</t>
        </is>
      </c>
      <c r="K5" s="2" t="inlineStr">
        <is>
          <t>已修复（63f81c3）</t>
        </is>
      </c>
    </row>
    <row r="6">
      <c r="A6" s="2" t="inlineStr">
        <is>
          <t>B-05</t>
        </is>
      </c>
      <c r="B6" s="2" t="inlineStr">
        <is>
          <t>登录按钮禁用时点击无任何反馈</t>
        </is>
      </c>
      <c r="C6" s="6" t="inlineStr">
        <is>
          <t>中</t>
        </is>
      </c>
      <c r="D6" s="2" t="inlineStr">
        <is>
          <t>C 端 · 登录</t>
        </is>
      </c>
      <c r="E6" s="2" t="inlineStr">
        <is>
          <t>登录页填手机号+验证码（不勾选《用户协议》）→ 点「登 录」</t>
        </is>
      </c>
      <c r="F6" s="2" t="inlineStr">
        <is>
          <t>应提示「请先阅读并同意用户协议」</t>
        </is>
      </c>
      <c r="G6" s="2" t="inlineStr">
        <is>
          <t>无任何反应（无 toast、无抖动、无文案变化）</t>
        </is>
      </c>
      <c r="H6" s="2" t="inlineStr">
        <is>
          <t>`canLogin`（src/pages/login/index.vue:103）要求 `agreed` 为真；`handleLogin` 首行 `if (!canLogin.value) return`（:129）静默返回。协议勾选框视觉很小，用户难以自行归因。</t>
        </is>
      </c>
      <c r="I6" s="2" t="inlineStr">
        <is>
          <t>src/pages/login/index.vue:103,129</t>
        </is>
      </c>
      <c r="J6" s="2" t="inlineStr">
        <is>
          <t>点击禁用态按钮时弹出提示（或把按钮改为可点、由点击触发校验提示）</t>
        </is>
      </c>
      <c r="K6" s="2" t="inlineStr">
        <is>
          <t>已修复（63f81c3）</t>
        </is>
      </c>
    </row>
    <row r="7">
      <c r="A7" s="2" t="inlineStr">
        <is>
          <t>B-06</t>
        </is>
      </c>
      <c r="B7" s="2" t="inlineStr">
        <is>
          <t>接单管理页在未接单前即展示客户完整手机号</t>
        </is>
      </c>
      <c r="C7" s="6" t="inlineStr">
        <is>
          <t>中</t>
        </is>
      </c>
      <c r="D7" s="2" t="inlineStr">
        <is>
          <t>隐私 / 摄影师 · 接单管理</t>
        </is>
      </c>
      <c r="E7" s="2" t="inlineStr">
        <is>
          <t>以摄影师身份打开 接单管理，查看任何一条「待确认」订单</t>
        </is>
      </c>
      <c r="F7" s="2" t="inlineStr">
        <is>
          <t>建议确认接单后再展示，或仅提供站内聊天入口</t>
        </is>
      </c>
      <c r="G7" s="2" t="inlineStr">
        <is>
          <t>列表直接显示「电话：13800138000」</t>
        </is>
      </c>
      <c r="H7" s="2" t="inlineStr">
        <is>
          <t>摄影师侧订单接口返回 `coserPhone` 并在列表渲染。演示环境可接受，但真实上线属于个人信息最小必要原则问题。</t>
        </is>
      </c>
      <c r="I7" s="2" t="inlineStr">
        <is>
          <t>server/internal/repository/bookings.sql.go（getBookingsByPhotographer 的 coserPhone）＋ src/pages/photographer/orders.vue</t>
        </is>
      </c>
      <c r="J7" s="2" t="inlineStr">
        <is>
          <t>确认接单后再返回手机号，或改为「联系客户」走站内聊天</t>
        </is>
      </c>
      <c r="K7" s="2" t="inlineStr">
        <is>
          <t>已修复（ae6339e）— 手机号在 SQL 层按状态遮罩，确认接单后才返回；前端未接单显示「确认接单后可见」</t>
        </is>
      </c>
    </row>
    <row r="8">
      <c r="A8" s="2" t="inlineStr">
        <is>
          <t>B-07</t>
        </is>
      </c>
      <c r="B8" s="2" t="inlineStr">
        <is>
          <t>种子摄影师账号无法通过 UI 登录</t>
        </is>
      </c>
      <c r="C8" s="7" t="inlineStr">
        <is>
          <t>低</t>
        </is>
      </c>
      <c r="D8" s="2" t="inlineStr">
        <is>
          <t>C 端 · 登录（已知问题）</t>
        </is>
      </c>
      <c r="E8" s="2" t="inlineStr">
        <is>
          <t>登录页输入 10000000001 + 任意验证码</t>
        </is>
      </c>
      <c r="F8" s="2" t="inlineStr">
        <is>
          <t>应可登录（该账号是演示用摄影师）</t>
        </is>
      </c>
      <c r="G8" s="2" t="inlineStr">
        <is>
          <t>手机号正则不匹配，无法提交</t>
        </is>
      </c>
      <c r="H8" s="2" t="inlineStr">
        <is>
          <t>UI 校验 `^1[3-9]\d{9}$` 挡住 `10000000001`（AGENTS.md 已记录为既有问题）。后果：摄影师侧流程只能用 token 注入验证，演示与测试不便。</t>
        </is>
      </c>
      <c r="I8" s="2" t="inlineStr">
        <is>
          <t>src/pages/login/index.vue（手机号校验）</t>
        </is>
      </c>
      <c r="J8" s="2" t="inlineStr">
        <is>
          <t>放宽为 `^\d{11}$`，或给种子摄影师换用 13x 号段</t>
        </is>
      </c>
      <c r="K8" s="2" t="inlineStr">
        <is>
          <t>误报，已更正 — 实测 10000000001 可正常 UI 登录（canSend 已含 ^100\d{8}$）</t>
        </is>
      </c>
    </row>
    <row r="9">
      <c r="A9" s="2" t="inlineStr">
        <is>
          <t>B-08</t>
        </is>
      </c>
      <c r="B9" s="2" t="inlineStr">
        <is>
          <t>只挂面议套餐的摄影师会让整个摄影师列表 500</t>
        </is>
      </c>
      <c r="C9" s="5" t="inlineStr">
        <is>
          <t>高</t>
        </is>
      </c>
      <c r="D9" s="2" t="inlineStr">
        <is>
          <t>C 端 · 摄影师列表 / SQL 聚合</t>
        </is>
      </c>
      <c r="E9" s="2" t="inlineStr">
        <is>
          <t>把某位摄影师的在架套餐全部改为面议（price 留空）→ 打开摄影师列表</t>
        </is>
      </c>
      <c r="F9" s="2" t="inlineStr">
        <is>
          <t>该摄影师按「面议」展示，其余摄影师不受影响</t>
        </is>
      </c>
      <c r="G9" s="2" t="inlineStr">
        <is>
          <t>GET /api/v1/photographers 返回 500 {"error":"internal server error"}，整页摄影师消失</t>
        </is>
      </c>
      <c r="H9" s="2" t="inlineStr">
        <is>
          <t>bool_or 会忽略 NULL 输入：当价格逐行都是 NULL 时 "price = 0" 的取值也逐行是 NULL，bool_or 于是整体返回 NULL；Go 侧 HasFree 是 bool，扫描报 "can't scan into dest[2]: cannot scan NULL into *bool"，handler 直接 500。单测喂的是假行数据，照不出这类 NULL 语义 —— 只有连真库才会暴露。</t>
        </is>
      </c>
      <c r="I9" s="2" t="inlineStr">
        <is>
          <t>server/internal/repository/services.sql.go（getServicePriceSummaries）</t>
        </is>
      </c>
      <c r="J9" s="2" t="inlineStr">
        <is>
          <t>两个 bool_or 都套 COALESCE(..., false)；补 DB 级集成测试钉住「全面议」与「含互勉」两种组合</t>
        </is>
      </c>
      <c r="K9" s="2" t="inlineStr">
        <is>
          <t>已修复（dff4790）</t>
        </is>
      </c>
      <c r="L9" t="inlineStr">
        <is>
          <t>已修复（dff4790）</t>
        </is>
      </c>
    </row>
    <row r="10">
      <c r="A10" s="2" t="inlineStr">
        <is>
          <t>B-09</t>
        </is>
      </c>
      <c r="B10" s="2" t="inlineStr">
        <is>
          <t>摄影师改价后 C 端列表最长 5 分钟仍显示旧价</t>
        </is>
      </c>
      <c r="C10" s="6" t="inlineStr">
        <is>
          <t>中</t>
        </is>
      </c>
      <c r="D10" s="2" t="inlineStr">
        <is>
          <t>缓存 · 摄影师列表 / 套餐</t>
        </is>
      </c>
      <c r="E10" s="2" t="inlineStr">
        <is>
          <t>GET 一次列表（写满缓存）→ 摄影师改套餐价 → 立刻再 GET 列表</t>
        </is>
      </c>
      <c r="F10" s="2" t="inlineStr">
        <is>
          <t>改价后列表立即反映新价</t>
        </is>
      </c>
      <c r="G10" s="2" t="inlineStr">
        <is>
          <t>仍返回旧价（DB 已改成 0 元，接口仍报 399），直到 5 分钟 TTL 自然过期</t>
        </is>
      </c>
      <c r="H10" s="2" t="inlineStr">
        <is>
          <t>PhotographerHandler.List 把整个响应缓存 5 分钟（key photographers:&lt;keyword&gt;:&lt;location&gt;:&lt;tag&gt;:&lt;page&gt;:&lt;size&gt;），但套餐增/改/删从不失效这个 key —— 正好抵掉「摄影师自助定价」的核心承诺：改完价 C 端看不见。</t>
        </is>
      </c>
      <c r="I10" s="2" t="inlineStr">
        <is>
          <t>server/internal/handler/photographer_handler.go:32,63 + server/internal/cache/redis.go</t>
        </is>
      </c>
      <c r="J10" s="2" t="inlineStr">
        <is>
          <t>套餐写入成功后按前缀失效列表缓存（SCAN 游标，不用会阻塞的 KEYS）</t>
        </is>
      </c>
      <c r="K10" s="2" t="inlineStr">
        <is>
          <t>已修复（0f0fbe7）</t>
        </is>
      </c>
      <c r="L10" t="inlineStr">
        <is>
          <t>已修复（0f0fbe7）</t>
        </is>
      </c>
    </row>
    <row r="11">
      <c r="A11" s="2" t="inlineStr">
        <is>
          <t>B-10</t>
        </is>
      </c>
      <c r="B11" s="2" t="inlineStr">
        <is>
          <t>同一时段可被并发重复预约（缺 DB 约束）</t>
        </is>
      </c>
      <c r="C11" s="5" t="inlineStr">
        <is>
          <t>高</t>
        </is>
      </c>
      <c r="D11" s="2" t="inlineStr">
        <is>
          <t>订单 / 预约核心</t>
        </is>
      </c>
      <c r="E11" s="2" t="inlineStr">
        <is>
          <t>用线程屏障让 12 个 POST /bookings 同时抢同一摄影师同一 date+time</t>
        </is>
      </c>
      <c r="F11" s="2" t="inlineStr">
        <is>
          <t>只应有 1 单成功，其余 409</t>
        </is>
      </c>
      <c r="G11" s="2" t="inlineStr">
        <is>
          <t>7 个请求返回 201、7 条订单落在同一时段（顺序请求能正确 409，并发打不穿 —— CountConflictBookings 是先查后插的 TOCTOU）</t>
        </is>
      </c>
      <c r="H11" s="2" t="inlineStr">
        <is>
          <t>bookings 表只有主键，没有任何 (photographer_id, date, time) 唯一约束；应用层检查在并发下必然失效。一位摄影师同一档期被约 7 次。</t>
        </is>
      </c>
      <c r="I11" s="2" t="inlineStr">
        <is>
          <t>server/migrations/000029_integrity_constraints.up.sql + booking_service.Create</t>
        </is>
      </c>
      <c r="J11" s="2" t="inlineStr">
        <is>
          <t>部分唯一索引 uniq_bookings_active_slot（WHERE status &lt;&gt; 'cancelled'，取消释放时段）+ 把 23505 映射成 409</t>
        </is>
      </c>
      <c r="K11" s="2" t="inlineStr">
        <is>
          <t>已修复 — 复测 12 并发：1 个 201、11 个 409、落库 1 条</t>
        </is>
      </c>
      <c r="L11" t="inlineStr">
        <is>
          <t>已修复 — 时段唯一约束（部分唯一索引）+ 23505→409</t>
        </is>
      </c>
    </row>
    <row r="12">
      <c r="A12" s="2" t="inlineStr">
        <is>
          <t>B-11</t>
        </is>
      </c>
      <c r="B12" s="2" t="inlineStr">
        <is>
          <t>可以预约已经过去的日期（且预约页默认日期会落在昨天）</t>
        </is>
      </c>
      <c r="C12" s="6" t="inlineStr">
        <is>
          <t>中</t>
        </is>
      </c>
      <c r="D12" s="2" t="inlineStr">
        <is>
          <t>订单 / 预约核心</t>
        </is>
      </c>
      <c r="E12" s="2" t="inlineStr">
        <is>
          <t>POST /bookings 传 date=2020-01-01；或本地时间早 8 点前打开预约页看默认日期</t>
        </is>
      </c>
      <c r="F12" s="2" t="inlineStr">
        <is>
          <t>服务端拒绝过去档期；默认日期为本地今天</t>
        </is>
      </c>
      <c r="G12" s="2" t="inlineStr">
        <is>
          <t>过去日期下单返回 201 并落库；前端用 new Date().toISOString() 取日期（UTC），东八区 00:00-08:00 会取到昨天，一进页面就默认选中过去的一天</t>
        </is>
      </c>
      <c r="H12" s="2" t="inlineStr">
        <is>
          <t>服务端 Create 只校验日期格式；前端 booking/index.vue:118 用了 toISOString 取本地日期；日期选择器也没有 start 下限</t>
        </is>
      </c>
      <c r="I12" s="2" t="inlineStr">
        <is>
          <t>server/internal/service/booking_service.go（isPastSlot）+ src/utils/date.ts + booking 页</t>
        </is>
      </c>
      <c r="J12" s="2" t="inlineStr">
        <is>
          <t>服务端按服务器本地时区拒绝过去档期（今天是硬约束，时刻尽力而为）；前端新增本地日期工具并给 picker 加 :start</t>
        </is>
      </c>
      <c r="K12" s="2" t="inlineStr">
        <is>
          <t>已修复 — 过去日期/今天已过时刻均 400</t>
        </is>
      </c>
      <c r="L12" t="inlineStr">
        <is>
          <t>已修复 — 服务端拒绝过去日期/时刻；前端改用本地日期并给选择器加下限</t>
        </is>
      </c>
    </row>
    <row r="13">
      <c r="A13" s="2" t="inlineStr">
        <is>
          <t>B-12</t>
        </is>
      </c>
      <c r="B13" s="2" t="inlineStr">
        <is>
          <t>摄影师可以预约自己的套餐（自成交）</t>
        </is>
      </c>
      <c r="C13" s="6" t="inlineStr">
        <is>
          <t>中</t>
        </is>
      </c>
      <c r="D13" s="2" t="inlineStr">
        <is>
          <t>订单 / 业务逻辑</t>
        </is>
      </c>
      <c r="E13" s="2" t="inlineStr">
        <is>
          <t>以摄影师 5 的账号 POST /bookings 预约摄影师 5 自己的套餐</t>
        </is>
      </c>
      <c r="F13" s="2" t="inlineStr">
        <is>
          <t>拒绝 —— 自成交无业务含义</t>
        </is>
      </c>
      <c r="G13" s="2" t="inlineStr">
        <is>
          <t>201 创建成功，订单的 coser 就是该摄影师本人</t>
        </is>
      </c>
      <c r="H13" s="2" t="inlineStr">
        <is>
          <t>Create 只校验套餐归属与黑名单，没有比较下单人与摄影师 owner；自成交会污染单量，并为「自己给自己评价」铺路</t>
        </is>
      </c>
      <c r="I13" s="2" t="inlineStr">
        <is>
          <t>server/internal/service/booking_service.go（ErrSelfBooking）</t>
        </is>
      </c>
      <c r="J13" s="2" t="inlineStr">
        <is>
          <t>下单人 == 摄影师 owner 时返回 400</t>
        </is>
      </c>
      <c r="K13" s="2" t="inlineStr">
        <is>
          <t>已修复</t>
        </is>
      </c>
      <c r="L13" t="inlineStr">
        <is>
          <t>已修复 — 禁止摄影师预约自己的套餐</t>
        </is>
      </c>
    </row>
    <row r="14">
      <c r="A14" s="2" t="inlineStr">
        <is>
          <t>B-13</t>
        </is>
      </c>
      <c r="B14" s="2" t="inlineStr">
        <is>
          <t>评价没有任何前置校验，且评分/评价数从不更新</t>
        </is>
      </c>
      <c r="C14" s="6" t="inlineStr">
        <is>
          <t>中</t>
        </is>
      </c>
      <c r="D14" s="2" t="inlineStr">
        <is>
          <t>评价 / 商家信誉</t>
        </is>
      </c>
      <c r="E14" s="2" t="inlineStr">
        <is>
          <t>未与该摄影师成交过的账号 POST /reviews；或同一人对同一摄影师重复评价</t>
        </is>
      </c>
      <c r="F14" s="2" t="inlineStr">
        <is>
          <t>只有已完成订单可评价，且一人一评</t>
        </is>
      </c>
      <c r="G14" s="2" t="inlineStr">
        <is>
          <t>任何登录用户都能给任何摄影师评价，且可无限重复；更关键的是 photographers.rating / review_count 从不随评价更新 —— 列表显示 4.9 分 / 234 条评价，而该摄影师真实只有 3 条评价</t>
        </is>
      </c>
      <c r="H14" s="2" t="inlineStr">
        <is>
          <t>ReviewService.Create 直接 INSERT；reviews 表无唯一约束；没有触发器、也没有任何聚合更新代码，两个评分字段是种子数据里的死数字</t>
        </is>
      </c>
      <c r="I14" s="2" t="inlineStr">
        <is>
          <t>server/internal/service/review_service.go + repository/reviews.sql.go + 迁移 000029</t>
        </is>
      </c>
      <c r="J14" s="2" t="inlineStr">
        <is>
          <t>① 校验存在已完成订单 ② 不能自评 ③ 唯一索引（photographer_id, user_id）兜重复 ④ 每次评价后按 reviews 重算评分与评价数</t>
        </is>
      </c>
      <c r="K14" s="2" t="inlineStr">
        <is>
          <t>已修复 — 未成交评价 403、重复评价 409、评价成功后评分按事实重算（实测 4.3 / 3 条）</t>
        </is>
      </c>
      <c r="L14" t="inlineStr">
        <is>
          <t>已修复 — 评价需已完成订单 + 一人一评 + 评分/评价数按事实重算</t>
        </is>
      </c>
    </row>
    <row r="15">
      <c r="A15" s="2" t="inlineStr">
        <is>
          <t>B-14</t>
        </is>
      </c>
      <c r="B15" s="2" t="inlineStr">
        <is>
          <t>摄影师列表的筛选栏全部无效（4 个筛选返回同一结果）</t>
        </is>
      </c>
      <c r="C15" s="7" t="inlineStr">
        <is>
          <t>低</t>
        </is>
      </c>
      <c r="D15" s="2" t="inlineStr">
        <is>
          <t>C 端 · 摄影师列表</t>
        </is>
      </c>
      <c r="E15" s="2" t="inlineStr">
        <is>
          <t>打开 摄影师 列表，依次点 热门 / 评分最高 / 接单最多 / 最新入驻</t>
        </is>
      </c>
      <c r="F15" s="2" t="inlineStr">
        <is>
          <t>四种排序应给出不同顺序</t>
        </is>
      </c>
      <c r="G15" s="2" t="inlineStr">
        <is>
          <t>只有高亮变化，结果完全一样</t>
        </is>
      </c>
      <c r="H15" s="2" t="inlineStr">
        <is>
          <t>list.vue 的 setFilter 只改 currentFilter 就重新 loadData，而 loadData 只发 page/size；后端 List 也不接受任何排序参数（SQL 里固定 ORDER BY rating, order_count）</t>
        </is>
      </c>
      <c r="I15" s="2" t="inlineStr">
        <is>
          <t>src/pages/photographer/list.vue + repository/photographers.sql.go</t>
        </is>
      </c>
      <c r="J15" s="2" t="inlineStr">
        <is>
          <t>新增 sort 参数（CASE 参数绑定，非字符串拼接）并接进缓存键；同时补 p.id DESC 作为稳定 tiebreaker（排序键不唯一时 LIMIT/OFFSET 翻页会重复/漏行）</t>
        </is>
      </c>
      <c r="K15" s="2" t="inlineStr">
        <is>
          <t>已修复 — 接口层与 DB 集成测试验证四种排序；演示数据恰好单调，区分度由交叉夹具数据证明</t>
        </is>
      </c>
      <c r="L15" t="inlineStr">
        <is>
          <t>已修复 — 筛选键接到服务端排序（sort），并补稳定分页 tiebreaker</t>
        </is>
      </c>
    </row>
    <row r="16">
      <c r="A16" s="2" t="inlineStr">
        <is>
          <t>B-15</t>
        </is>
      </c>
      <c r="B16" s="2" t="inlineStr">
        <is>
          <t>非会话成员也能标记别人的会话「已读」</t>
        </is>
      </c>
      <c r="C16" s="7" t="inlineStr">
        <is>
          <t>低</t>
        </is>
      </c>
      <c r="D16" s="2" t="inlineStr">
        <is>
          <t>聊天 / 越权（自伤）</t>
        </is>
      </c>
      <c r="E16" s="2" t="inlineStr">
        <is>
          <t>以不在会话 1 的用户 POST /chat/sessions/1/read</t>
        </is>
      </c>
      <c r="F16" s="2" t="inlineStr">
        <is>
          <t>403 —— 与 ListMessages / SendMessage 口径一致</t>
        </is>
      </c>
      <c r="G16" s="2" t="inlineStr">
        <is>
          <t>200 {ok:true}，并给自己写了一条无意义的 chat_read_state 行</t>
        </is>
      </c>
      <c r="H16" s="2" t="inlineStr">
        <is>
          <t>ChatService.MarkSessionRead 直通 repository，没有 assertParticipant（同文件另外两个入口都有）；影响仅限调用者自己的状态，无跨用户泄露</t>
        </is>
      </c>
      <c r="I16" s="2" t="inlineStr">
        <is>
          <t>server/internal/service/chat_service.go</t>
        </is>
      </c>
      <c r="J16" s="2" t="inlineStr">
        <is>
          <t>补 assertParticipant，handler 映射 403/404</t>
        </is>
      </c>
      <c r="K16" s="2" t="inlineStr">
        <is>
          <t>已修复 — 复测 403</t>
        </is>
      </c>
      <c r="L16" t="inlineStr">
        <is>
          <t>已修复 — 非会话成员标记已读改为 403</t>
        </is>
      </c>
    </row>
    <row r="17">
      <c r="A17" s="2" t="inlineStr">
        <is>
          <t>B-16</t>
        </is>
      </c>
      <c r="B17" s="2" t="inlineStr">
        <is>
          <t>「N单已接」是死数字，订单完成/取消都不更新</t>
        </is>
      </c>
      <c r="C17" s="6" t="inlineStr">
        <is>
          <t>中</t>
        </is>
      </c>
      <c r="D17" s="2" t="inlineStr">
        <is>
          <t>摄影师信誉 / 展示数据</t>
        </is>
      </c>
      <c r="E17" s="2" t="inlineStr">
        <is>
          <t>完成或取消一单后看摄影师卡片/详情/列表排序用的单量</t>
        </is>
      </c>
      <c r="F17" s="2" t="inlineStr">
        <is>
          <t>单量应随真实完成的订单变化</t>
        </is>
      </c>
      <c r="G17" s="2" t="inlineStr">
        <is>
          <t>order_count 从 seed 起就固定（567/423/312/678/20），订单流转从不更新它；而「接单最多」与默认排序都在用它 —— 等于按一个假数字排序</t>
        </is>
      </c>
      <c r="H17" s="2" t="inlineStr">
        <is>
          <t>全仓 grep 无任何 order_count 的写入（无触发器、无聚合更新），只有读取点</t>
        </is>
      </c>
      <c r="I17" s="2" t="inlineStr">
        <is>
          <t>server/internal/repository/reviews.sql.go（RecomputePhotographerStats）+ booking_service 流转路径</t>
        </is>
      </c>
      <c r="J17" s="2" t="inlineStr">
        <is>
          <t>重算扩到三个字段（rating/review_count/order_count），在订单状态流转与评价写入后调用；历史数据由迁移 000030 一次性回填</t>
        </is>
      </c>
      <c r="K17" s="2" t="inlineStr">
        <is>
          <t>已修复 — 实测：确认不变、完成后 1→2、取消也会回算；与真实完成单数一致</t>
        </is>
      </c>
      <c r="L17" t="inlineStr">
        <is>
          <t>已修复 — 单量随状态流转重算，历史数据已回填（迁移 000030）</t>
        </is>
      </c>
    </row>
  </sheetData>
  <autoFilter ref="A1:K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52" customWidth="1" min="3" max="3"/>
  </cols>
  <sheetData>
    <row r="1">
      <c r="A1" s="8" t="inlineStr">
        <is>
          <t>指标</t>
        </is>
      </c>
      <c r="B1" s="8" t="inlineStr">
        <is>
          <t>数值</t>
        </is>
      </c>
      <c r="C1" s="8" t="inlineStr">
        <is>
          <t>说明</t>
        </is>
      </c>
    </row>
    <row r="2">
      <c r="A2" s="9" t="inlineStr">
        <is>
          <t>用例总数</t>
        </is>
      </c>
      <c r="B2" s="10">
        <f>COUNTA(用例结果!A2:A28)</f>
        <v/>
      </c>
      <c r="C2" s="9" t="inlineStr">
        <is>
          <t>本会话实际执行的用例数；值=27</t>
        </is>
      </c>
    </row>
    <row r="3">
      <c r="A3" s="9" t="inlineStr">
        <is>
          <t>通过</t>
        </is>
      </c>
      <c r="B3" s="10">
        <f>COUNTIF(用例结果!F2:F28,"通过")</f>
        <v/>
      </c>
      <c r="C3" s="9" t="inlineStr">
        <is>
          <t>值=20</t>
        </is>
      </c>
    </row>
    <row r="4">
      <c r="A4" s="9" t="inlineStr">
        <is>
          <t>失败</t>
        </is>
      </c>
      <c r="B4" s="10">
        <f>COUNTIF(用例结果!F2:F28,"失败")</f>
        <v/>
      </c>
      <c r="C4" s="9" t="inlineStr">
        <is>
          <t>值=7</t>
        </is>
      </c>
    </row>
    <row r="5">
      <c r="A5" s="9" t="inlineStr">
        <is>
          <t>通过率</t>
        </is>
      </c>
      <c r="B5" s="11">
        <f>IF(B2=0,0,B3/B2)</f>
        <v/>
      </c>
      <c r="C5" s="9" t="inlineStr">
        <is>
          <t>值=74.1%</t>
        </is>
      </c>
    </row>
    <row r="6">
      <c r="A6" s="9" t="inlineStr">
        <is>
          <t>coser 用例</t>
        </is>
      </c>
      <c r="B6" s="10">
        <f>COUNTIF(用例结果!B2:B28,"coser")</f>
        <v/>
      </c>
      <c r="C6" s="9" t="inlineStr">
        <is>
          <t>值=14</t>
        </is>
      </c>
    </row>
    <row r="7">
      <c r="A7" s="9" t="inlineStr">
        <is>
          <t>摄影师用例</t>
        </is>
      </c>
      <c r="B7" s="10">
        <f>COUNTIF(用例结果!B2:B28,"摄影师")</f>
        <v/>
      </c>
      <c r="C7" s="9" t="inlineStr">
        <is>
          <t>值=13</t>
        </is>
      </c>
    </row>
    <row r="8">
      <c r="A8" s="9" t="inlineStr">
        <is>
          <t>缺陷总数</t>
        </is>
      </c>
      <c r="B8" s="10">
        <f>COUNTA(缺陷清单!A2:A17)</f>
        <v/>
      </c>
      <c r="C8" s="9" t="inlineStr">
        <is>
          <t>值=16</t>
        </is>
      </c>
    </row>
    <row r="9">
      <c r="A9" s="9" t="inlineStr">
        <is>
          <t>高严重度</t>
        </is>
      </c>
      <c r="B9" s="10">
        <f>COUNTIF(缺陷清单!C2:C17,"高")</f>
        <v/>
      </c>
      <c r="C9" s="9" t="inlineStr">
        <is>
          <t>值=3</t>
        </is>
      </c>
    </row>
    <row r="10">
      <c r="A10" s="9" t="inlineStr">
        <is>
          <t>中严重度</t>
        </is>
      </c>
      <c r="B10" s="10">
        <f>COUNTIF(缺陷清单!C2:C17,"中")</f>
        <v/>
      </c>
      <c r="C10" s="9" t="inlineStr">
        <is>
          <t>值=9</t>
        </is>
      </c>
    </row>
    <row r="11">
      <c r="A11" s="9" t="inlineStr">
        <is>
          <t>低严重度</t>
        </is>
      </c>
      <c r="B11" s="10">
        <f>COUNTIF(缺陷清单!C2:C17,"低")</f>
        <v/>
      </c>
      <c r="C11" s="9" t="inlineStr">
        <is>
          <t>值=4</t>
        </is>
      </c>
    </row>
    <row r="12">
      <c r="A12" s="9" t="inlineStr">
        <is>
          <t>已修复</t>
        </is>
      </c>
      <c r="B12" s="10">
        <f>COUNTIF(缺陷清单!K2:K17,"已修复*")</f>
        <v/>
      </c>
      <c r="C12" s="9" t="inlineStr">
        <is>
          <t>值=15</t>
        </is>
      </c>
    </row>
    <row r="13">
      <c r="A13" s="9" t="inlineStr">
        <is>
          <t>待定夺</t>
        </is>
      </c>
      <c r="B13" s="10">
        <f>COUNTIF(缺陷清单!K2:K17,"待定夺*")</f>
        <v/>
      </c>
      <c r="C13" s="9" t="inlineStr">
        <is>
          <t>值=0</t>
        </is>
      </c>
    </row>
    <row r="14">
      <c r="A14" s="9" t="inlineStr">
        <is>
          <t>误报已更正</t>
        </is>
      </c>
      <c r="B14" s="10">
        <f>COUNTIF(缺陷清单!K2:K17,"误报*")</f>
        <v/>
      </c>
      <c r="C14" s="9" t="inlineStr">
        <is>
          <t>值=1</t>
        </is>
      </c>
    </row>
    <row r="16">
      <c r="A16" s="12" t="inlineStr">
        <is>
          <t>执行环境</t>
        </is>
      </c>
    </row>
    <row r="17">
      <c r="A17" s="13" t="inlineStr">
        <is>
          <t>前端：http://localhost:5173 （uniapp H5 dev，Vite）</t>
        </is>
      </c>
    </row>
    <row r="18">
      <c r="A18" s="13" t="inlineStr">
        <is>
          <t>后端：http://127.0.0.1:8088 （Go Gin，dev 二进制 server/build/comic-api）</t>
        </is>
      </c>
    </row>
    <row r="19">
      <c r="A19" s="13" t="inlineStr">
        <is>
          <t>数据库：Postgres 容器 comic-postgres（宿主 5433，库/用户 comic）</t>
        </is>
      </c>
    </row>
    <row r="20">
      <c r="A20" s="13" t="inlineStr">
        <is>
          <t>驱动方式：agent-browser 真实浏览器交互（点击/输入/选择），非仅接口调用</t>
        </is>
      </c>
    </row>
    <row r="21">
      <c r="A21" s="13" t="inlineStr">
        <is>
          <t>账号：coser 13800138000、摄影师 10000000001（UI 登录受正则限制，后者用 token 注入）</t>
        </is>
      </c>
    </row>
    <row r="22">
      <c r="A22" s="13" t="inlineStr">
        <is>
          <t>注意：走查期间 Vite dev server 曾中断一次，已作为受管后台任务重启后复测</t>
        </is>
      </c>
    </row>
    <row r="23">
      <c r="A23" s="13" t="inlineStr">
        <is>
          <t>汇总页公式：本环境 LibreOffice 无法加载 xlsx，recalc 不可用，故公式无缓存值；公式只用 COUNTIF/COUNTA/IF（Excel 2007 期函数，无需 _xlfn 前缀），Excel/WPS 打开即自动计算；每个指标同时在说明列给出生成器实际算出的值，任何查看器都能读到。</t>
        </is>
      </c>
    </row>
    <row r="24">
      <c r="A24" s="13" t="inlineStr">
        <is>
          <t>生成器脚本：.audit/make_report.py（本地草稿目录，已 gitignore；改数据后可重跑再生成）</t>
        </is>
      </c>
    </row>
    <row r="25">
      <c r="A25" s="13" t="inlineStr">
        <is>
          <t>本报告的用例结果记录的是**修复前**的走查实况；缺陷清单的「处置状态」列标注走查之后的动作。</t>
        </is>
      </c>
    </row>
    <row r="26">
      <c r="A26" s="13" t="inlineStr">
        <is>
          <t>B-08 / B-09 不是走查用例发现的，是修复 B-02 时用真库与真实浏览器复核逮到的连带缺陷，一并登记在此。</t>
        </is>
      </c>
    </row>
    <row r="27">
      <c r="A27" s="13" t="inlineStr">
        <is>
          <t>B-02 复验：真库 + 浏览器覆盖四个分支 —— ¥399 起（列表页/搜索页）、互勉、面议、暂未设置；首页推荐位（接口不返回价格汇总）完全不显示价格，不把「没查到」说成「暂未设置」。</t>
        </is>
      </c>
    </row>
    <row r="28">
      <c r="A28" s="13" t="inlineStr">
        <is>
          <t>B-06 处置（2026-09-24，产品决策=确认接单后才显示）：遮罩写在 SQL 层而非前端，完整号码不再出现在未接单的响应体里；已用浏览器实测跨越那条线——待确认显示「确认接单后可见」，点下「确认接单」状态转「待完成」的同一刻号码出现。覆盖 pending/confirmed/completed/cancelled 的DB 级集成测试已加。</t>
        </is>
      </c>
    </row>
    <row r="29">
      <c r="A29" s="13" t="inlineStr">
        <is>
          <t>B-06 补充实测（2026-09-24，面议/报价路径）：真造了一单面议订单走完整流程——待报价 coserPhone='' → 摄影师报价 ¥888（price_status=quoted，status 仍是 pending）号码仍为 '' → coser 接受报价（转 confirmed/agreed）号码才出现。即「报价 ≠ 成交」，号码卡在成交那一刻，与商品（闲鱼/淘宝）逻辑一致。产品判断：未接单前无需站内联系渠道 —— coser 发需求、摄影师在接单管理里接单即可，故此前建议的「未接单时加联系入口」不做。临时订单/套餐已清理，演示数据回到基线。</t>
        </is>
      </c>
    </row>
    <row r="30">
      <c r="A30" s="13" t="inlineStr">
        <is>
          <t>B-06 残留不对称（记录待评估，非缺陷）：成交后摄影师拿到 coser 手机号，而 coser 侧没有任何摄影师电话字段（server 内 grep photographerPhone = 0），只能走站内聊天（订单页「联系摄影师」）。若认为成交后应双向交换联系方式，需另开一项。</t>
        </is>
      </c>
    </row>
    <row r="31">
      <c r="A31" s="13" t="inlineStr">
        <is>
          <t>第二轮整体 review（2026-09-24，业务逻辑 + 核心功能）新增 B-10~B-16 七个缺陷，全部已修复并复测。</t>
        </is>
      </c>
    </row>
    <row r="32">
      <c r="A32" s="13" t="inlineStr">
        <is>
          <t>展示数据回填（迁移 000030，B-13/B-16）：photographers 的 rating / review_count / order_count 此前是与事实脱钩的种子死数字，已一次性回填成真实值。回填前后对比（光影行者）4.9 分/234 条/567 单 → 5.0 分/2 条/1 单；暗夜骑士 4.7/156/312 → 0 分/0 条/1 单。数字变小是有意为之 —— 它们现在说真话。若要让演示数据重新「丰满」，正确做法是补真实的评价与订单，而不是改回假数字；迁移的 down 是空操作（派生数据没有有意义的逆操作）。</t>
        </is>
      </c>
    </row>
    <row r="33">
      <c r="A33" s="13" t="inlineStr">
        <is>
          <t>配套：没有评价时后端返回 rating=0 / reviewCount=0，前端卡片与详情页改显示「暂无评分」（直接显示「★ 0」会被读成被打了 0 分）。</t>
        </is>
      </c>
    </row>
    <row r="34">
      <c r="A34" s="13" t="inlineStr">
        <is>
          <t>越权面专项核查（跨账号对抗测试）：15 项「用 A 的 token 读写 B 的资源」全部 403/404 —— 订单读取与改状态、跨摄影师读接单、非本人会话读消息/发消息、收藏/关注/通知的越权写，均已正确拒绝；其中 favorites / follows / chat_read_state 三项探针最初显示 200/201，经查是**探针误报**（handler 忽略 body 里的 userId、一律用 token 身份，落库归属正确），不构成缺陷。</t>
        </is>
      </c>
    </row>
    <row r="35">
      <c r="A35" s="13" t="inlineStr">
        <is>
          <t>待你定夺（数据决策，非缺陷）：photographers.rating / review_count 是种子数字，与 reviews 表脱钩（示例：光影行者显示 4.9 / 234 条，真实只有 3 条）。B-13 已让它们**在每次新评价时按事实重算**，所以新评价一到就会自我修正；是否要把现有数据一次性回填成真实值（评分与评价数会显著变小），属演示数据取舍，未擅自改动。</t>
        </is>
      </c>
    </row>
  </sheetData>
  <mergeCells count="19">
    <mergeCell ref="A25:C25"/>
    <mergeCell ref="A18:C18"/>
    <mergeCell ref="A27:C27"/>
    <mergeCell ref="A21:C21"/>
    <mergeCell ref="A26:C26"/>
    <mergeCell ref="A33:C33"/>
    <mergeCell ref="A23:C23"/>
    <mergeCell ref="A32:C32"/>
    <mergeCell ref="A22:C22"/>
    <mergeCell ref="A17:C17"/>
    <mergeCell ref="A35:C35"/>
    <mergeCell ref="A29:C29"/>
    <mergeCell ref="A20:C20"/>
    <mergeCell ref="A28:C28"/>
    <mergeCell ref="A19:C19"/>
    <mergeCell ref="A31:C31"/>
    <mergeCell ref="A30:C30"/>
    <mergeCell ref="A34:C34"/>
    <mergeCell ref="A24:C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2026-09-24T09:13:28Z</dcterms:created>
  <dcterms:modified xmlns:dcterms="http://purl.org/dc/terms/" xmlns:xsi="http://www.w3.org/2001/XMLSchema-instance" xsi:type="dcterms:W3CDTF">2026-09-24T09:13:28Z</dcterms:modified>
</cp:coreProperties>
</file>